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0.10.1.1\10.Sistemas\INVENTARIO\"/>
    </mc:Choice>
  </mc:AlternateContent>
  <xr:revisionPtr revIDLastSave="0" documentId="13_ncr:1_{5DD21976-A89C-4E62-B65D-9844AD572ECB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XXXXXX" sheetId="1" state="hidden" r:id="rId1"/>
    <sheet name="INVENTARIO CONSOLIDADO" sheetId="4" state="hidden" r:id="rId2"/>
    <sheet name="TD1" sheetId="6" state="hidden" r:id="rId3"/>
    <sheet name="TD2" sheetId="8" r:id="rId4"/>
    <sheet name="TD2 (2)" sheetId="9" r:id="rId5"/>
    <sheet name="INV20260126" sheetId="5" r:id="rId6"/>
    <sheet name="Tabla" sheetId="7" r:id="rId7"/>
    <sheet name="Hoja1" sheetId="11" r:id="rId8"/>
  </sheets>
  <definedNames>
    <definedName name="_xlnm._FilterDatabase" localSheetId="5" hidden="1">INV20260126!$A$1:$AC$50</definedName>
    <definedName name="_xlnm._FilterDatabase" localSheetId="1" hidden="1">'INVENTARIO CONSOLIDADO'!$A$1:$W$53</definedName>
    <definedName name="_xlnm._FilterDatabase" localSheetId="0" hidden="1">XXXXXX!$A$1:$R$53</definedName>
  </definedNames>
  <calcPr calcId="191029"/>
  <pivotCaches>
    <pivotCache cacheId="16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4" i="5" l="1"/>
  <c r="M73" i="5"/>
  <c r="M72" i="5"/>
  <c r="M91" i="5"/>
  <c r="M90" i="5"/>
  <c r="M89" i="5"/>
  <c r="M57" i="5"/>
  <c r="M56" i="5"/>
  <c r="M58" i="5"/>
  <c r="M71" i="5"/>
  <c r="M75" i="5"/>
  <c r="M77" i="5"/>
  <c r="M76" i="5"/>
  <c r="M69" i="5"/>
  <c r="M55" i="5"/>
  <c r="M68" i="5"/>
  <c r="M67" i="5"/>
  <c r="M66" i="5"/>
  <c r="M65" i="5"/>
  <c r="M64" i="5"/>
  <c r="M63" i="5"/>
  <c r="M62" i="5"/>
  <c r="M61" i="5"/>
  <c r="M60" i="5"/>
  <c r="M59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C3" i="7"/>
  <c r="C4" i="7"/>
  <c r="C5" i="7"/>
  <c r="C6" i="7"/>
  <c r="C2" i="7"/>
  <c r="C7" i="7" l="1"/>
</calcChain>
</file>

<file path=xl/sharedStrings.xml><?xml version="1.0" encoding="utf-8"?>
<sst xmlns="http://schemas.openxmlformats.org/spreadsheetml/2006/main" count="4720" uniqueCount="852">
  <si>
    <t>ITEM</t>
  </si>
  <si>
    <t>AREA</t>
  </si>
  <si>
    <t>SUB AREA</t>
  </si>
  <si>
    <t>USUARIO</t>
  </si>
  <si>
    <t>TRABAJADOR</t>
  </si>
  <si>
    <t>NOMBRE PC</t>
  </si>
  <si>
    <t>MARCA</t>
  </si>
  <si>
    <t>IP</t>
  </si>
  <si>
    <t>SEDE</t>
  </si>
  <si>
    <t>PROCESADOR</t>
  </si>
  <si>
    <t>RAM</t>
  </si>
  <si>
    <t>DISCO</t>
  </si>
  <si>
    <t>T. VIDEO</t>
  </si>
  <si>
    <t>MONITOR</t>
  </si>
  <si>
    <t>TECLADO</t>
  </si>
  <si>
    <t>MOUSE</t>
  </si>
  <si>
    <t>MAX CONDORI</t>
  </si>
  <si>
    <t>mcondori</t>
  </si>
  <si>
    <t>PC-COORDINADOR2</t>
  </si>
  <si>
    <t>TIPO</t>
  </si>
  <si>
    <t>COMPUTADORA</t>
  </si>
  <si>
    <t>COMPATIBLE</t>
  </si>
  <si>
    <t>I5-11400</t>
  </si>
  <si>
    <t>16 GB</t>
  </si>
  <si>
    <t>512 GB</t>
  </si>
  <si>
    <t>20"</t>
  </si>
  <si>
    <t>SI</t>
  </si>
  <si>
    <t>ESTABILIZADOR</t>
  </si>
  <si>
    <t>BRAIN DE LA CRUZ</t>
  </si>
  <si>
    <t>PC-DIGITACION3</t>
  </si>
  <si>
    <t>24"</t>
  </si>
  <si>
    <t>LOGITECH K120 2252MR060BD8</t>
  </si>
  <si>
    <t>BELEN CABELLO</t>
  </si>
  <si>
    <t>bcabello</t>
  </si>
  <si>
    <t>PC-FACTURACION3</t>
  </si>
  <si>
    <t>FRANK CULQUICONDOR</t>
  </si>
  <si>
    <t>fculquicondor</t>
  </si>
  <si>
    <t>PC-DIGITACION4</t>
  </si>
  <si>
    <t>LOGITECH K120 2252MR060BF8</t>
  </si>
  <si>
    <t>LAP-CONTADOR6</t>
  </si>
  <si>
    <t>LAPTOP</t>
  </si>
  <si>
    <t>DELL</t>
  </si>
  <si>
    <t>I5-1235U</t>
  </si>
  <si>
    <t>8 GB</t>
  </si>
  <si>
    <t>15.6"</t>
  </si>
  <si>
    <t>MARIA ALEJANDRA MORAN</t>
  </si>
  <si>
    <t>mmoran</t>
  </si>
  <si>
    <t>PC-DESARROLLO1</t>
  </si>
  <si>
    <t>I5-51400F</t>
  </si>
  <si>
    <t>240 GB</t>
  </si>
  <si>
    <t>22"</t>
  </si>
  <si>
    <t>LOGITECH K120 2021SC302T08</t>
  </si>
  <si>
    <t>JOSE RUA</t>
  </si>
  <si>
    <t>jrua</t>
  </si>
  <si>
    <t>PC-DESARROLLO2</t>
  </si>
  <si>
    <t>INTEL PENTIUM G2010</t>
  </si>
  <si>
    <t>4 GB</t>
  </si>
  <si>
    <t>LOGITECH K120 2244MR05B958</t>
  </si>
  <si>
    <t>ALEX PAZ</t>
  </si>
  <si>
    <t>apaz</t>
  </si>
  <si>
    <t>PC-DISTRIBUCION</t>
  </si>
  <si>
    <t>I5-3330</t>
  </si>
  <si>
    <t>6 GB</t>
  </si>
  <si>
    <t>bdelacruz</t>
  </si>
  <si>
    <t>MURILLO</t>
  </si>
  <si>
    <t>LAP-GERENCIA1</t>
  </si>
  <si>
    <t>RICHARD SAPANA</t>
  </si>
  <si>
    <t>rsapana</t>
  </si>
  <si>
    <t>PC-MARKETING2</t>
  </si>
  <si>
    <t>I5-11400F</t>
  </si>
  <si>
    <t>SANDRA YSLA</t>
  </si>
  <si>
    <t>sysla</t>
  </si>
  <si>
    <t>PC-GGHH</t>
  </si>
  <si>
    <t>GGHH</t>
  </si>
  <si>
    <t>ERIC ORE</t>
  </si>
  <si>
    <t>eore</t>
  </si>
  <si>
    <t>LAP-RRHH</t>
  </si>
  <si>
    <t>I3-1005G1</t>
  </si>
  <si>
    <t>TASHINA MEJIA</t>
  </si>
  <si>
    <t>PC-RRHH</t>
  </si>
  <si>
    <t>I5-4400</t>
  </si>
  <si>
    <t>19"</t>
  </si>
  <si>
    <t>tmejia</t>
  </si>
  <si>
    <t>KEVIN GUILLEN</t>
  </si>
  <si>
    <t>kguillen</t>
  </si>
  <si>
    <t>PC-SSOMA</t>
  </si>
  <si>
    <t>I3-4170</t>
  </si>
  <si>
    <t>GENIUS KB115 X1D21043404094</t>
  </si>
  <si>
    <t>SSOMA</t>
  </si>
  <si>
    <t>SUBGERENCIA</t>
  </si>
  <si>
    <t>ENRIQUE DAMACEN</t>
  </si>
  <si>
    <t>LAP-SUBGERENTE</t>
  </si>
  <si>
    <t>I7-1360P</t>
  </si>
  <si>
    <t>1 TB</t>
  </si>
  <si>
    <t>16"</t>
  </si>
  <si>
    <t>SUPERVISION</t>
  </si>
  <si>
    <t>VICTOR ORTIZ</t>
  </si>
  <si>
    <t>vortiz</t>
  </si>
  <si>
    <t>PC-FINANZAS</t>
  </si>
  <si>
    <t>I5-1400F</t>
  </si>
  <si>
    <t>CONTABILIDAD</t>
  </si>
  <si>
    <t>MIJAIL VILLAVERDE</t>
  </si>
  <si>
    <t>mvillaverde</t>
  </si>
  <si>
    <t>PC-CONTA1</t>
  </si>
  <si>
    <t>VALERY SANCHEZ</t>
  </si>
  <si>
    <t>PC-CONTA2</t>
  </si>
  <si>
    <t>I3-4160</t>
  </si>
  <si>
    <t>msanchez</t>
  </si>
  <si>
    <t>CESAR MONTALVO</t>
  </si>
  <si>
    <t>PC-CONTA3</t>
  </si>
  <si>
    <t>PC-CONTA5</t>
  </si>
  <si>
    <t>A12-9800E</t>
  </si>
  <si>
    <t>cmontalvo</t>
  </si>
  <si>
    <t>LOGISTICA</t>
  </si>
  <si>
    <t>IMPORTACIONES</t>
  </si>
  <si>
    <t>EMILY MONTOYA</t>
  </si>
  <si>
    <t>PC-IMPORT1</t>
  </si>
  <si>
    <t>I5-6400</t>
  </si>
  <si>
    <t>emontoya</t>
  </si>
  <si>
    <t>PAULO ROJAS</t>
  </si>
  <si>
    <t>projas</t>
  </si>
  <si>
    <t>LUIS PARE</t>
  </si>
  <si>
    <t>lpare</t>
  </si>
  <si>
    <t>PC-FACTURACION4</t>
  </si>
  <si>
    <t>ALMACEN</t>
  </si>
  <si>
    <t>VICTOR HUAMAN</t>
  </si>
  <si>
    <t>vhuaman</t>
  </si>
  <si>
    <t>DESKTOP-007M481</t>
  </si>
  <si>
    <t>I3-2330M</t>
  </si>
  <si>
    <t>14"</t>
  </si>
  <si>
    <t>FINANZAS</t>
  </si>
  <si>
    <t>TESORERIA</t>
  </si>
  <si>
    <t>KRISTELL QUISPE</t>
  </si>
  <si>
    <t>kquispe</t>
  </si>
  <si>
    <t>I3-7100</t>
  </si>
  <si>
    <t>ANTHONY MENDOZA</t>
  </si>
  <si>
    <t>amendoza</t>
  </si>
  <si>
    <t>PC-CONTA6</t>
  </si>
  <si>
    <t>COBRANZAS</t>
  </si>
  <si>
    <t>PEDRO ESPEJO</t>
  </si>
  <si>
    <t>PC-COBRANZA1</t>
  </si>
  <si>
    <t>aespejo</t>
  </si>
  <si>
    <t>WILMER AMASIFUEN</t>
  </si>
  <si>
    <t>wamasifuen</t>
  </si>
  <si>
    <t>PC-COBRANZA2</t>
  </si>
  <si>
    <t>MARIA LUISA LUYO</t>
  </si>
  <si>
    <t>mluyo</t>
  </si>
  <si>
    <t>PC-COBRANZA3</t>
  </si>
  <si>
    <t>I3-2120</t>
  </si>
  <si>
    <t>MIRKO PARI</t>
  </si>
  <si>
    <t>mpari</t>
  </si>
  <si>
    <t>PC-VENTAS1</t>
  </si>
  <si>
    <t>I5-4170</t>
  </si>
  <si>
    <t>SISTEMAS</t>
  </si>
  <si>
    <t>EDWYN MONTORO</t>
  </si>
  <si>
    <t>emontoro</t>
  </si>
  <si>
    <t>PC-SISTEMAS1</t>
  </si>
  <si>
    <t>I7-11200</t>
  </si>
  <si>
    <t>JOSEMI VASQUEZ</t>
  </si>
  <si>
    <t>JUAN NIMA</t>
  </si>
  <si>
    <t>jnima</t>
  </si>
  <si>
    <t>DESKTOP-OFKJ2SJ</t>
  </si>
  <si>
    <t>NO</t>
  </si>
  <si>
    <t>VANESSA LOPEZ</t>
  </si>
  <si>
    <t>PC-CALIDAD2</t>
  </si>
  <si>
    <t>I7-11700</t>
  </si>
  <si>
    <t>vlopez</t>
  </si>
  <si>
    <t>CALIDAD</t>
  </si>
  <si>
    <t>DESARROLLO</t>
  </si>
  <si>
    <t>DISTRIBUCION</t>
  </si>
  <si>
    <t>MARKETING</t>
  </si>
  <si>
    <t>LAP-GERENCIA2</t>
  </si>
  <si>
    <t>I7-1255U</t>
  </si>
  <si>
    <t>DIK SALDAÑA</t>
  </si>
  <si>
    <t>dsaldaña</t>
  </si>
  <si>
    <t>PC-DESARROLLO</t>
  </si>
  <si>
    <t>LOGITECH K120 2232MR046B88</t>
  </si>
  <si>
    <t>GUSTAVO SILVA</t>
  </si>
  <si>
    <t>gsilva</t>
  </si>
  <si>
    <t>PC-ALMACEN3</t>
  </si>
  <si>
    <t>LOGITECH K120 2021SC302SZ8</t>
  </si>
  <si>
    <t>LAP-PLANNER</t>
  </si>
  <si>
    <t>I7-12700</t>
  </si>
  <si>
    <t>COMERCIAL</t>
  </si>
  <si>
    <t>VENTAS</t>
  </si>
  <si>
    <t>MARIELA CASTAÑEDA</t>
  </si>
  <si>
    <t>mcastañeda</t>
  </si>
  <si>
    <t>LAP-GCOMERCIAL</t>
  </si>
  <si>
    <t>ASUS</t>
  </si>
  <si>
    <t>WALTER VASQUEZ</t>
  </si>
  <si>
    <t>wvasquez</t>
  </si>
  <si>
    <t>PC-PROVINCIA2</t>
  </si>
  <si>
    <t>I5-10400F</t>
  </si>
  <si>
    <t>ROSELYN MORANTE</t>
  </si>
  <si>
    <t>rmorante</t>
  </si>
  <si>
    <t>PC-VENTAS2</t>
  </si>
  <si>
    <t>LAP-VENTAS1</t>
  </si>
  <si>
    <t>I5-8265U</t>
  </si>
  <si>
    <t>LESLY QUISPE</t>
  </si>
  <si>
    <t>lquispe</t>
  </si>
  <si>
    <t>PC-VENTAS3</t>
  </si>
  <si>
    <t>JORGE RIOS</t>
  </si>
  <si>
    <t>jrios</t>
  </si>
  <si>
    <t>PC-CAMPO7</t>
  </si>
  <si>
    <t>JEFFERSON PAZ</t>
  </si>
  <si>
    <t>jpaz</t>
  </si>
  <si>
    <t>PC-ALMACEN1</t>
  </si>
  <si>
    <t>RICARDO ROJAS</t>
  </si>
  <si>
    <t>rrojas</t>
  </si>
  <si>
    <t>PC-DIGITACION1</t>
  </si>
  <si>
    <t>JUDITZA GONZALES</t>
  </si>
  <si>
    <t>jgonzales</t>
  </si>
  <si>
    <t>PC-MAYORISTA2</t>
  </si>
  <si>
    <t>I3-7100U</t>
  </si>
  <si>
    <t>NUC</t>
  </si>
  <si>
    <t>JOHN RASHTA</t>
  </si>
  <si>
    <t>jrashta</t>
  </si>
  <si>
    <t>PC-DIGITACION2</t>
  </si>
  <si>
    <t>CARLO ALVA</t>
  </si>
  <si>
    <t>PC-SISTEMAS2</t>
  </si>
  <si>
    <t>VIRGILIO GUTIERREZ</t>
  </si>
  <si>
    <t>vgutierrez</t>
  </si>
  <si>
    <t>PC-PROVINCIAS</t>
  </si>
  <si>
    <t>PC-IMPORTACION3</t>
  </si>
  <si>
    <t>LAP-SOPORTE</t>
  </si>
  <si>
    <t>I7-7500U</t>
  </si>
  <si>
    <t>LAP-DAMACENG</t>
  </si>
  <si>
    <t>I5-1021U</t>
  </si>
  <si>
    <t>OMAR YARLEQUE</t>
  </si>
  <si>
    <t>PC-MARKETING</t>
  </si>
  <si>
    <t>oyarleque</t>
  </si>
  <si>
    <t>10.10.3.11</t>
  </si>
  <si>
    <t>10.10.3.13</t>
  </si>
  <si>
    <t>10.10.3.12</t>
  </si>
  <si>
    <t>10.10.3.33</t>
  </si>
  <si>
    <t>10.10.3.14</t>
  </si>
  <si>
    <t>10.10.3.18</t>
  </si>
  <si>
    <t>10.10.3.19</t>
  </si>
  <si>
    <t>10.10.3.17</t>
  </si>
  <si>
    <t>10.10.3.15</t>
  </si>
  <si>
    <t>10.10.3.16</t>
  </si>
  <si>
    <t>10.10.3.21</t>
  </si>
  <si>
    <t>10.10.3.22</t>
  </si>
  <si>
    <t>10.10.3.23</t>
  </si>
  <si>
    <t>10.10.3.24</t>
  </si>
  <si>
    <t>10.10.3.25</t>
  </si>
  <si>
    <t>10.10.3.26</t>
  </si>
  <si>
    <t>10.10.3.27</t>
  </si>
  <si>
    <t>10.10.3.28</t>
  </si>
  <si>
    <t>10.10.3.29</t>
  </si>
  <si>
    <t>10.10.3.31</t>
  </si>
  <si>
    <t>10.10.3.32</t>
  </si>
  <si>
    <t>10.10.3.34</t>
  </si>
  <si>
    <t>10.10.3.35</t>
  </si>
  <si>
    <t>10.10.3.36</t>
  </si>
  <si>
    <t>10.10.3.37</t>
  </si>
  <si>
    <t>10.10.3.38</t>
  </si>
  <si>
    <t>10.10.3.39</t>
  </si>
  <si>
    <t>10.10.3.41</t>
  </si>
  <si>
    <t>10.10.3.42</t>
  </si>
  <si>
    <t>10.10.3.43</t>
  </si>
  <si>
    <t>10.10.3.44</t>
  </si>
  <si>
    <t>10.10.3.45</t>
  </si>
  <si>
    <t>10.10.3.46</t>
  </si>
  <si>
    <t>10.10.3.47</t>
  </si>
  <si>
    <t>10.10.3.48</t>
  </si>
  <si>
    <t>10.10.3.49</t>
  </si>
  <si>
    <t>10.10.3.51</t>
  </si>
  <si>
    <t>10.10.3.52</t>
  </si>
  <si>
    <t>10.10.3.53</t>
  </si>
  <si>
    <t>ADMINISTRACION</t>
  </si>
  <si>
    <t>Producción</t>
  </si>
  <si>
    <t>Distribucción</t>
  </si>
  <si>
    <t>Facturación</t>
  </si>
  <si>
    <t>240 GB SSD sata</t>
  </si>
  <si>
    <t>Laptop Asus Vivobook</t>
  </si>
  <si>
    <t>16GB 3200MHZ DRR4</t>
  </si>
  <si>
    <t>NVME M.2 MTFDKBK512QFM 512GB</t>
  </si>
  <si>
    <t>Kingston SA400S37240G 240GB</t>
  </si>
  <si>
    <t>Eduardo Rojas</t>
  </si>
  <si>
    <t>Laptop ipead s340-15iwl</t>
  </si>
  <si>
    <t>no</t>
  </si>
  <si>
    <t>Lenovo IPEAD S145IIL</t>
  </si>
  <si>
    <t>8GB 2400MHZ DDR4</t>
  </si>
  <si>
    <t>SSD GIGABYTE GP-GSTFST31240GNTD</t>
  </si>
  <si>
    <t>16GB 3200MHZ DDR4</t>
  </si>
  <si>
    <t>NVME 2400A NVME Micron 512GB</t>
  </si>
  <si>
    <t>Lenovo thinkpad 20J9S04A00</t>
  </si>
  <si>
    <t>16 GB drr4 2400mhz</t>
  </si>
  <si>
    <t>WD 2.5 240GB green</t>
  </si>
  <si>
    <t>dlopez</t>
  </si>
  <si>
    <t>DELL INSPIRON 15</t>
  </si>
  <si>
    <t>16GB DRR4 3200MHZ</t>
  </si>
  <si>
    <t>Nvme BG6KIOXIA 1024GB</t>
  </si>
  <si>
    <t>No</t>
  </si>
  <si>
    <t xml:space="preserve">Digitación </t>
  </si>
  <si>
    <t>digitacion</t>
  </si>
  <si>
    <t>Juan Carlos Llico Rudas</t>
  </si>
  <si>
    <t xml:space="preserve">DELL Inspiron 15 </t>
  </si>
  <si>
    <t>LENOVO THINKPAD L15 GEN 1</t>
  </si>
  <si>
    <t>Emily Dianira Montoya Palma</t>
  </si>
  <si>
    <t>DEYSI VANNESA LOPEZ MORAN</t>
  </si>
  <si>
    <t>DESPACHO</t>
  </si>
  <si>
    <t xml:space="preserve">12 GB 2400Mhz drr4 </t>
  </si>
  <si>
    <t>PC-TDA4</t>
  </si>
  <si>
    <t>i5-10400</t>
  </si>
  <si>
    <t>JOSUE RUA</t>
  </si>
  <si>
    <t xml:space="preserve">PRODUCCIÓN
</t>
  </si>
  <si>
    <t>PC-TDA3</t>
  </si>
  <si>
    <t>Nataly Cruz</t>
  </si>
  <si>
    <t>ncruz</t>
  </si>
  <si>
    <t>PC-HORECA</t>
  </si>
  <si>
    <t>jroman</t>
  </si>
  <si>
    <t xml:space="preserve">Carlo Alva Gamarra </t>
  </si>
  <si>
    <t>PC-VENTAS4</t>
  </si>
  <si>
    <t>fleon</t>
  </si>
  <si>
    <t>Omar Yarleque</t>
  </si>
  <si>
    <t>PC-IMPORTACIONES2</t>
  </si>
  <si>
    <t>acontable</t>
  </si>
  <si>
    <t>Merly Flores</t>
  </si>
  <si>
    <t>Dik Saldaña</t>
  </si>
  <si>
    <t>Braian steven de la cruz</t>
  </si>
  <si>
    <t xml:space="preserve">Richard Sapana Carlos </t>
  </si>
  <si>
    <t>LAP-VENTAS</t>
  </si>
  <si>
    <t>LAP-FINANZAS</t>
  </si>
  <si>
    <t>jquiroz</t>
  </si>
  <si>
    <t>Juan Pablo Quiroz Auqui</t>
  </si>
  <si>
    <t>dortiz</t>
  </si>
  <si>
    <t>DOMINICK ORTIZ</t>
  </si>
  <si>
    <t>DELL INSPIRON 16 2-IN-1</t>
  </si>
  <si>
    <t>PLACA MADRE</t>
  </si>
  <si>
    <t>Laptop L15 GEN 1</t>
  </si>
  <si>
    <t>Forza FVR 902</t>
  </si>
  <si>
    <t xml:space="preserve">B560M gigabyte </t>
  </si>
  <si>
    <t>H61M-DS2 Gigabyte</t>
  </si>
  <si>
    <t>H110M-H Gigabyte</t>
  </si>
  <si>
    <t>Asus prime H110M-P</t>
  </si>
  <si>
    <t xml:space="preserve">H810M-H Gigabyte </t>
  </si>
  <si>
    <t>Asus prime H510M-K R2.0</t>
  </si>
  <si>
    <t>Asustes PRIME A320M-K</t>
  </si>
  <si>
    <t xml:space="preserve">Asustek Prime A320MK </t>
  </si>
  <si>
    <t>H61H2-MV ECS</t>
  </si>
  <si>
    <t>Intel B250</t>
  </si>
  <si>
    <t xml:space="preserve">H61M-DS2 3.0 </t>
  </si>
  <si>
    <t>NUC7i3BNB</t>
  </si>
  <si>
    <t>Asustek Prime H110M-P</t>
  </si>
  <si>
    <t>NUC7I3BNB intel</t>
  </si>
  <si>
    <t>H110M-H-CF</t>
  </si>
  <si>
    <t>B560M D3SH</t>
  </si>
  <si>
    <t xml:space="preserve">B560M Gaming HD Gigabyte </t>
  </si>
  <si>
    <t>H410M S2H V2</t>
  </si>
  <si>
    <t>PRIME H510M-K R2.0</t>
  </si>
  <si>
    <t>Prime A320M-K</t>
  </si>
  <si>
    <t>H310M H 2m0</t>
  </si>
  <si>
    <t xml:space="preserve">B560M Gigabyte </t>
  </si>
  <si>
    <t>LAPTOP DELL INSPIRION15 3520</t>
  </si>
  <si>
    <t>H810M-H</t>
  </si>
  <si>
    <t>H81M-S1</t>
  </si>
  <si>
    <t>H510M-VHS Asrock</t>
  </si>
  <si>
    <t>B560M GAMING HD</t>
  </si>
  <si>
    <t>B560M Gaming HD</t>
  </si>
  <si>
    <t>Asrock H510M-HVS</t>
  </si>
  <si>
    <t>Foxconn H61MXE</t>
  </si>
  <si>
    <t xml:space="preserve">Gigabyte H61M-DS2 </t>
  </si>
  <si>
    <t xml:space="preserve">I5-8265U </t>
  </si>
  <si>
    <t>12 GB 2400Mhz DDR4</t>
  </si>
  <si>
    <t>INTEGRADA</t>
  </si>
  <si>
    <t xml:space="preserve">PLI 1100 USB </t>
  </si>
  <si>
    <t>Forza FVR 903</t>
  </si>
  <si>
    <t xml:space="preserve"> I7-1255U</t>
  </si>
  <si>
    <t xml:space="preserve">NVME BG6 KIOXIA 1024GB </t>
  </si>
  <si>
    <t>SSD GIGABYTE GP-GSTFST31240GNTD 240GB</t>
  </si>
  <si>
    <t>8GB 3200mhz DDR4</t>
  </si>
  <si>
    <t>HP PAVILLION G SERIES</t>
  </si>
  <si>
    <t>4 GB DDR3 1600MHZ</t>
  </si>
  <si>
    <t>512 GB ssd sata</t>
  </si>
  <si>
    <t>16 GB drr4 3200MHZ</t>
  </si>
  <si>
    <t xml:space="preserve">I5-3330 </t>
  </si>
  <si>
    <t>I7-4790</t>
  </si>
  <si>
    <t xml:space="preserve">I5-11400 </t>
  </si>
  <si>
    <t>AMD A12 9800E-9800</t>
  </si>
  <si>
    <t>AMD A12-9800E Radeon R7 12 Compute cores 4c+8G</t>
  </si>
  <si>
    <t>I5-9400F</t>
  </si>
  <si>
    <t xml:space="preserve">I7-11700 </t>
  </si>
  <si>
    <t>I5-4440</t>
  </si>
  <si>
    <t>AMD A12 9800E RADEON R7 12 COMPUTER</t>
  </si>
  <si>
    <t>Intel pentium G2010</t>
  </si>
  <si>
    <t xml:space="preserve">16GB 3200mhz drr4 </t>
  </si>
  <si>
    <t>4GB 1333mhz drr3</t>
  </si>
  <si>
    <t xml:space="preserve">8GB 2400 MHZ DRR4 </t>
  </si>
  <si>
    <t xml:space="preserve">8GB 3200MHZ DRR4  2 módulos de 4 </t>
  </si>
  <si>
    <t>8GB 1600MHZ DRR3</t>
  </si>
  <si>
    <t>8GB 2600 MHZ drr4</t>
  </si>
  <si>
    <t>8GB 1200MHZ drr3</t>
  </si>
  <si>
    <t>8GB 1200MHZ Drr3</t>
  </si>
  <si>
    <t>4GB drr3 1600mhz</t>
  </si>
  <si>
    <t>8GB 2133 MHZ drr4</t>
  </si>
  <si>
    <t xml:space="preserve">4GB 1333 MHZ DRR3 </t>
  </si>
  <si>
    <t>8GB 1600 MHZ DDR3</t>
  </si>
  <si>
    <t>8GB 2400mhz DDR4</t>
  </si>
  <si>
    <t>8GB 2100MHZ DDR4</t>
  </si>
  <si>
    <t>16GB 2666MHZ DDR4</t>
  </si>
  <si>
    <t>8GB 2600 MHZ DDR4</t>
  </si>
  <si>
    <t>8GB 2666MHZ DDR4</t>
  </si>
  <si>
    <t>8GB 1200MHZ DDR3</t>
  </si>
  <si>
    <t>4GB 1600MHZ DDR3</t>
  </si>
  <si>
    <t>16GB</t>
  </si>
  <si>
    <t>8GB 1600MHZ DDR3</t>
  </si>
  <si>
    <t xml:space="preserve">8GB 1600MHZ DDR3 </t>
  </si>
  <si>
    <t>8GB DDR4 3200mhz</t>
  </si>
  <si>
    <t>8GB DDR3 1200MHZ</t>
  </si>
  <si>
    <t>16GB 3200mhz ddr4</t>
  </si>
  <si>
    <t xml:space="preserve">8GB 3200MHZ DDR4 </t>
  </si>
  <si>
    <t xml:space="preserve">16GB 3200mhz DDR4 </t>
  </si>
  <si>
    <t>4GB DDR3 1200MHZ</t>
  </si>
  <si>
    <t>6GB 1333MHZ ddr3</t>
  </si>
  <si>
    <t>16GB 3200MHZ</t>
  </si>
  <si>
    <t>8GB 3200MHZ DDR4</t>
  </si>
  <si>
    <t>Gigabyte GP-GSTF31240GNTD</t>
  </si>
  <si>
    <t>WD 2.5 240GB</t>
  </si>
  <si>
    <t>CT500P2SSD8 500GB</t>
  </si>
  <si>
    <t>DAHUA C900 2280 NVME 512GB M.2</t>
  </si>
  <si>
    <t>CT480BX500SSD1 480 SSD</t>
  </si>
  <si>
    <t>WD 2.5 GREEN 240GB</t>
  </si>
  <si>
    <t>WD 2.5 Green 240GB</t>
  </si>
  <si>
    <t>WDC WDS480G2G0A-00JH30 480GB</t>
  </si>
  <si>
    <t>SSD 500 CT480BX500SSD1</t>
  </si>
  <si>
    <t>CT240XBX500SSD1 500GB</t>
  </si>
  <si>
    <t xml:space="preserve">Dahua C900 M.2 2280 NVME 512GB SSD </t>
  </si>
  <si>
    <t>Dahua C900 M.2 2280 NVME 512GB</t>
  </si>
  <si>
    <t xml:space="preserve">Dahua C900 M.2 2280 NVME 512GB </t>
  </si>
  <si>
    <t>CT240VX500SSD1 500GB</t>
  </si>
  <si>
    <t>Gigabyte GP-GSTFS31240GNTD</t>
  </si>
  <si>
    <t>Kingston SNV2S500G 500GB</t>
  </si>
  <si>
    <t>PNY CS1031 500GB</t>
  </si>
  <si>
    <t>Wd 2.5 240GB green</t>
  </si>
  <si>
    <t>WD 2.5 ssd sata 240GB</t>
  </si>
  <si>
    <t xml:space="preserve">WD 2.5 240GB </t>
  </si>
  <si>
    <t>SSD Kingston SA400S37240G 240GB</t>
  </si>
  <si>
    <t>MSI SPATIUM 240GB</t>
  </si>
  <si>
    <t>Gigabyte GP-GSTFS31240GNTD 240GB</t>
  </si>
  <si>
    <t xml:space="preserve">22MK400H-B LG </t>
  </si>
  <si>
    <t xml:space="preserve">19M37A-B LG </t>
  </si>
  <si>
    <t>24mk430h-b LG 24"</t>
  </si>
  <si>
    <t>S24R35AFHN Samsung 24"</t>
  </si>
  <si>
    <t xml:space="preserve">22M38H-B LG </t>
  </si>
  <si>
    <t>24MK430H-B LG 24"</t>
  </si>
  <si>
    <t>F24T350FHL Samsung 24"</t>
  </si>
  <si>
    <t>20M47A-B LG</t>
  </si>
  <si>
    <t>22MK400H-B LG 22""</t>
  </si>
  <si>
    <t>22M38H-B LG 22"</t>
  </si>
  <si>
    <t>S22F35FHLXPE Samsung 22"</t>
  </si>
  <si>
    <t>FN24T350FHL, SAMSUNG, 24"</t>
  </si>
  <si>
    <t>19M38A-B LG 19"</t>
  </si>
  <si>
    <t>LF22T350FHLXPE SAMSUNG 22"</t>
  </si>
  <si>
    <t>22MN430M-B LG 22"</t>
  </si>
  <si>
    <t xml:space="preserve">19M38A-B LG </t>
  </si>
  <si>
    <t xml:space="preserve">S22F355FHL SAMSUNG </t>
  </si>
  <si>
    <t>Misma que luis</t>
  </si>
  <si>
    <t>22MK430M-B LG 22"</t>
  </si>
  <si>
    <t>Samsung S24R35AFHN 24"</t>
  </si>
  <si>
    <t>Samsung S22F350FHL 22"</t>
  </si>
  <si>
    <t>Samsung S22FJ350FHL</t>
  </si>
  <si>
    <t xml:space="preserve">Samsung F22T350FHL </t>
  </si>
  <si>
    <t>forza fvr 902</t>
  </si>
  <si>
    <t>Estabilizador forza fvr 902</t>
  </si>
  <si>
    <t>Estabilizador FVR 1202USB</t>
  </si>
  <si>
    <t>TAIR PLI 1100USB</t>
  </si>
  <si>
    <t>Gambyte</t>
  </si>
  <si>
    <t>No cuenta</t>
  </si>
  <si>
    <t>Forza-1002</t>
  </si>
  <si>
    <t>CDP RU-AVR</t>
  </si>
  <si>
    <t>Corriente directa</t>
  </si>
  <si>
    <t>UPS BX800L-MS</t>
  </si>
  <si>
    <t>UPS SPS ONE SALICRU,</t>
  </si>
  <si>
    <t>UPS SALICRU SPS ONE, forza fvr 1110</t>
  </si>
  <si>
    <t xml:space="preserve">UPS SALICRU SPS ONE </t>
  </si>
  <si>
    <t xml:space="preserve">Gambyte </t>
  </si>
  <si>
    <t xml:space="preserve">Quedar modelo </t>
  </si>
  <si>
    <t xml:space="preserve">Estabilizador </t>
  </si>
  <si>
    <t>FORZA FVR 902</t>
  </si>
  <si>
    <t xml:space="preserve">Forza FVR 902 </t>
  </si>
  <si>
    <t>De kriss mismo modelo</t>
  </si>
  <si>
    <t>Cdp RU-AVR604I</t>
  </si>
  <si>
    <t>Observaciones</t>
  </si>
  <si>
    <t>Mantenimiento su mini PC</t>
  </si>
  <si>
    <t>Mantenimeinto de pc, cambio de teclado y mouse desgaste</t>
  </si>
  <si>
    <t xml:space="preserve">Congelamiento con pc, mantenimiento pc, Teclado esta mal. </t>
  </si>
  <si>
    <t>Mantenimeinto pc físico y digital</t>
  </si>
  <si>
    <t xml:space="preserve">Fuente de poder ventilador no funciona, mantenimiento a pc general </t>
  </si>
  <si>
    <t>Mantenimiento PC temperatura alta</t>
  </si>
  <si>
    <t xml:space="preserve">Mantenimiento PC temperatura alta </t>
  </si>
  <si>
    <t>Insuficiente memoria ram, se apaga solo, mantenimiento pc por temperatura.</t>
  </si>
  <si>
    <t xml:space="preserve">Insuficiente memoria ram, mantenimiento por temperatura alta </t>
  </si>
  <si>
    <t>Mantenimeinto pc, componentes obsoletos</t>
  </si>
  <si>
    <t>Mantenimiento pc, ampliación de memoria ram insuficiente</t>
  </si>
  <si>
    <t>Lentitud ordenador urgente, cuelgue de la maquina constante, mantenimiento ordenador.</t>
  </si>
  <si>
    <t>Lentitud ordenador, mantenimiento y upgrade memoria ram</t>
  </si>
  <si>
    <t>Pantallazo Azul, tiene freeze el ordenador, memoria ram un modulo defectuosa, ya que es una compatible y no original</t>
  </si>
  <si>
    <t>Pc lenta, memoria ram insuficiente</t>
  </si>
  <si>
    <t xml:space="preserve">Lentitud por falta de memoria ram </t>
  </si>
  <si>
    <t>Lentitud memoria ram corto, mantenimiento PC</t>
  </si>
  <si>
    <t xml:space="preserve">Insuficiente memoria ram, temperatura alta en pc </t>
  </si>
  <si>
    <t>Temperatura pc alta</t>
  </si>
  <si>
    <t>Cambio de pc, lentitud y temperatura alta</t>
  </si>
  <si>
    <t>Temperatura alta y cambio de periféricos</t>
  </si>
  <si>
    <t xml:space="preserve">Mantenimiento pc </t>
  </si>
  <si>
    <t xml:space="preserve">Mantenimiento PC </t>
  </si>
  <si>
    <t>Cambio de pc lento</t>
  </si>
  <si>
    <t xml:space="preserve">Cambio de pc lento </t>
  </si>
  <si>
    <t>Mantenimiento PC</t>
  </si>
  <si>
    <t>Ninguno</t>
  </si>
  <si>
    <t>Mantenimiento pc</t>
  </si>
  <si>
    <t xml:space="preserve">Mantenimiento pc y cambio de periféricos </t>
  </si>
  <si>
    <t>Teclado desgastado, mouse desgastado, pc mantenimiento suciedad en todo el case</t>
  </si>
  <si>
    <t>Lentitud de pc por componentes antiguos cambio de pc, Teclado las teclas no se ven.</t>
  </si>
  <si>
    <t xml:space="preserve">PC con polvo futuro mantenimiento </t>
  </si>
  <si>
    <t xml:space="preserve">PC con polvo continuo en el case, futuro mantenimiento </t>
  </si>
  <si>
    <t>Mantenimiento pc sucia, componentes antiguos necesita actualización de equipo, lentitud de equipo</t>
  </si>
  <si>
    <t>Pc sucia mantenimiento futuro</t>
  </si>
  <si>
    <t>Mantenimiento de pc suciedad en el case y componentes</t>
  </si>
  <si>
    <t>Problemas de energía, pc mantenimiento sucio case y componentes</t>
  </si>
  <si>
    <t xml:space="preserve">Pc con lentitud, hardaware desactualizado, monitor con raya de Led desgaste. </t>
  </si>
  <si>
    <t>Mouse problemas, mantenimeinto de pc por temperatura</t>
  </si>
  <si>
    <t>Teclado desgastado, cable de video y puerto y mantenimeinto de pc por temperatura falta</t>
  </si>
  <si>
    <t>Luis Pare</t>
  </si>
  <si>
    <t>Luisa Luyo</t>
  </si>
  <si>
    <t>Kristell Quispe</t>
  </si>
  <si>
    <t>Wilmer amasifuen</t>
  </si>
  <si>
    <t>Mirko Pari</t>
  </si>
  <si>
    <t>Pedro Espejo</t>
  </si>
  <si>
    <t xml:space="preserve">Jhon Rashta </t>
  </si>
  <si>
    <t xml:space="preserve">Ricardo Rojas </t>
  </si>
  <si>
    <t>Virgilio  gutierrez</t>
  </si>
  <si>
    <t>Jefferson Paz</t>
  </si>
  <si>
    <t>Juditza Gonzales</t>
  </si>
  <si>
    <t xml:space="preserve">Rosselyn Morante </t>
  </si>
  <si>
    <t>Alexandra Roman</t>
  </si>
  <si>
    <t xml:space="preserve">Lesly Quispe </t>
  </si>
  <si>
    <t xml:space="preserve">Walter Vasquez </t>
  </si>
  <si>
    <t>Cesar Montalvo</t>
  </si>
  <si>
    <t>Maria Valery Sanchez Camino</t>
  </si>
  <si>
    <t>Anthony Mendoza</t>
  </si>
  <si>
    <t>Victor Ortiz</t>
  </si>
  <si>
    <t>Alexander Flores</t>
  </si>
  <si>
    <t>Adrian Gonzales</t>
  </si>
  <si>
    <t>Tashina</t>
  </si>
  <si>
    <t>Sandra Ysla</t>
  </si>
  <si>
    <t xml:space="preserve">Frank  Culqui Condor </t>
  </si>
  <si>
    <t>Joseph Rashta</t>
  </si>
  <si>
    <t>Rafael casaguaypa</t>
  </si>
  <si>
    <t>Omar Cruz</t>
  </si>
  <si>
    <t>Gustavo Silva</t>
  </si>
  <si>
    <t>Maria Moran</t>
  </si>
  <si>
    <t>Brissteh Rodriguez</t>
  </si>
  <si>
    <t xml:space="preserve">Alex Paz </t>
  </si>
  <si>
    <t>Luis Rojas</t>
  </si>
  <si>
    <t>Lpare</t>
  </si>
  <si>
    <t>pespejo</t>
  </si>
  <si>
    <t>jbarboza</t>
  </si>
  <si>
    <t>agonzales</t>
  </si>
  <si>
    <t>usuariorh</t>
  </si>
  <si>
    <t>bcruz</t>
  </si>
  <si>
    <t>laraujo</t>
  </si>
  <si>
    <t>brodriguez</t>
  </si>
  <si>
    <t>lrojas</t>
  </si>
  <si>
    <t xml:space="preserve">gsilva </t>
  </si>
  <si>
    <t xml:space="preserve">NVIDA GTX 1650 </t>
  </si>
  <si>
    <t>DESCPROCESADOR</t>
  </si>
  <si>
    <t>I5</t>
  </si>
  <si>
    <t>I7</t>
  </si>
  <si>
    <t>I3</t>
  </si>
  <si>
    <t>AMD</t>
  </si>
  <si>
    <t>PENTIUM</t>
  </si>
  <si>
    <t>GEN</t>
  </si>
  <si>
    <t>DESCDISCO</t>
  </si>
  <si>
    <t>SATA 240GB</t>
  </si>
  <si>
    <t>M.2</t>
  </si>
  <si>
    <t>Estabilizador</t>
  </si>
  <si>
    <t>Emily Montoya</t>
  </si>
  <si>
    <t>I5-10210U</t>
  </si>
  <si>
    <t>16GB 3200MHZ drr4</t>
  </si>
  <si>
    <t>15.6"" lenovo laptop</t>
  </si>
  <si>
    <t xml:space="preserve">Cargador 65W CAN ICES-3(B)
Teclado logitech membrana </t>
  </si>
  <si>
    <t xml:space="preserve">Lentitud de red, temperatura caliente por horas de uso continuo. </t>
  </si>
  <si>
    <t>Importaciones</t>
  </si>
  <si>
    <t>Paulo Rojas</t>
  </si>
  <si>
    <t>I7-12700H</t>
  </si>
  <si>
    <t>15.6 LAPTOP</t>
  </si>
  <si>
    <t>Mouse, mousepad, Cargador ASUS AD2087320</t>
  </si>
  <si>
    <t>Forza FVR-902</t>
  </si>
  <si>
    <t>Suciedad en la laptop futuro mantenimiento.</t>
  </si>
  <si>
    <t>I5-11400 Intel</t>
  </si>
  <si>
    <t xml:space="preserve">Teclado genius, mouse logitech, estabilizador </t>
  </si>
  <si>
    <t>I3-2120 intel</t>
  </si>
  <si>
    <t xml:space="preserve">Teclado logitech, estabilizador </t>
  </si>
  <si>
    <t>Ventas</t>
  </si>
  <si>
    <t xml:space="preserve">I3-7100 Intel </t>
  </si>
  <si>
    <t>Teclado logitech, mouse logitech</t>
  </si>
  <si>
    <t>Cobranzas</t>
  </si>
  <si>
    <t>I3-4170 intel</t>
  </si>
  <si>
    <t>Teclad logitech, mouse genius</t>
  </si>
  <si>
    <t>PC-COBRANZA4</t>
  </si>
  <si>
    <t>I5-11400 2.6 GHZ</t>
  </si>
  <si>
    <t xml:space="preserve">Teclado genios, mouse genius, estabilizador </t>
  </si>
  <si>
    <t>A12-9800E Radeon R7, 12 compute Cores 4C+8G</t>
  </si>
  <si>
    <t>Teclado Logitech, mouse logitech</t>
  </si>
  <si>
    <t>A12-9800E Radeon R7, 12 COMPUTE 4C+8G</t>
  </si>
  <si>
    <t>Teclado logitech, mouse logitech, mousepad</t>
  </si>
  <si>
    <t>Jorge Rios</t>
  </si>
  <si>
    <t xml:space="preserve">I5-8265U Intel </t>
  </si>
  <si>
    <t>Mouse y cargador laptop lenovo</t>
  </si>
  <si>
    <t xml:space="preserve">Visagra rota, audio desperfecto, temperatura alta futuro mantenimiento </t>
  </si>
  <si>
    <t>I5-3330 intel</t>
  </si>
  <si>
    <t xml:space="preserve">Teclado genius, mouse genius </t>
  </si>
  <si>
    <t xml:space="preserve">Logitech teclado, genius mouse </t>
  </si>
  <si>
    <t>Teclado genius, mouse Genius</t>
  </si>
  <si>
    <t xml:space="preserve">Teclado logitech, mouse genius </t>
  </si>
  <si>
    <t>Teclado logitech, Mouse logitech</t>
  </si>
  <si>
    <t>Logitech Teclado, Mouse genius</t>
  </si>
  <si>
    <t xml:space="preserve">PC-VENTAS3 </t>
  </si>
  <si>
    <t>Teclado logitech, mouse Logitech</t>
  </si>
  <si>
    <t xml:space="preserve">Teclado logitech, Mouse logitech </t>
  </si>
  <si>
    <t>Teclado genius, mouse logitech</t>
  </si>
  <si>
    <t>Marketing</t>
  </si>
  <si>
    <t>Mouse genius y teclado genius</t>
  </si>
  <si>
    <t xml:space="preserve">CARGADOR DELL  (19.5V - 3.34A – 65.0W) </t>
  </si>
  <si>
    <t xml:space="preserve">Visagra reparada, se requiere tener cuidado y hacerle mantenimiento con observaciones constantes </t>
  </si>
  <si>
    <t>RRHH</t>
  </si>
  <si>
    <t xml:space="preserve">Teclado y mouse </t>
  </si>
  <si>
    <t>Teclado genius, Mouse Genius</t>
  </si>
  <si>
    <t>Eric Ore</t>
  </si>
  <si>
    <t>Teclado genius y mouse logitech</t>
  </si>
  <si>
    <t>Temperatura laptop mantenimiento</t>
  </si>
  <si>
    <t>LAP-CONTADORG</t>
  </si>
  <si>
    <t>udigitacion</t>
  </si>
  <si>
    <t>Juan Carlos</t>
  </si>
  <si>
    <t>Laptop lenovo DELL inspiron 15</t>
  </si>
  <si>
    <t>Mouse genius, mousepad</t>
  </si>
  <si>
    <t>Estabilizador FVR 902</t>
  </si>
  <si>
    <t xml:space="preserve">Temperatura alta </t>
  </si>
  <si>
    <t>PC-IMPORTACIONES3</t>
  </si>
  <si>
    <t>Almacen</t>
  </si>
  <si>
    <t xml:space="preserve">Teclado genius y mouse genius </t>
  </si>
  <si>
    <t>Despacho</t>
  </si>
  <si>
    <t>usudespacho</t>
  </si>
  <si>
    <t>15.6 "</t>
  </si>
  <si>
    <t>Mouse genius y cargador de laptop</t>
  </si>
  <si>
    <t>Forza AVR 902</t>
  </si>
  <si>
    <t xml:space="preserve">Mantenimiento </t>
  </si>
  <si>
    <t>Calidad</t>
  </si>
  <si>
    <t>Deysi Lopez</t>
  </si>
  <si>
    <t>Mouse logitech y mousepad</t>
  </si>
  <si>
    <t>Ningun9</t>
  </si>
  <si>
    <t xml:space="preserve">Mouse teclado logitech </t>
  </si>
  <si>
    <t xml:space="preserve">PC-FACTURACION3 </t>
  </si>
  <si>
    <t>Mouse Logitech y mouse logitech</t>
  </si>
  <si>
    <t>Mouse y teclado logitech</t>
  </si>
  <si>
    <t>Teclado teros y mouse genius</t>
  </si>
  <si>
    <t>Teclado logitech y mouse thunderbolt</t>
  </si>
  <si>
    <t>Teclado logitech, Mouse logitech mousepad</t>
  </si>
  <si>
    <t>Teclado genius, Mouse genius</t>
  </si>
  <si>
    <t>Teclado micronics, Mouse genius</t>
  </si>
  <si>
    <t>Sistemas</t>
  </si>
  <si>
    <t>B560M Gigabyte</t>
  </si>
  <si>
    <t>SSD NVME m.2 512GB</t>
  </si>
  <si>
    <t>24MK430H-B, LG, 24"</t>
  </si>
  <si>
    <t>HOSTNAME</t>
  </si>
  <si>
    <t>usuario</t>
  </si>
  <si>
    <t>Responsable</t>
  </si>
  <si>
    <t>DESCPLACAMADRE</t>
  </si>
  <si>
    <t>DESCRAM</t>
  </si>
  <si>
    <t>DESCMONITOR</t>
  </si>
  <si>
    <t>PERIFERICOS</t>
  </si>
  <si>
    <t>GENPROCESADOR</t>
  </si>
  <si>
    <t xml:space="preserve">I7 AMD </t>
  </si>
  <si>
    <t>4GB</t>
  </si>
  <si>
    <t>8GB</t>
  </si>
  <si>
    <t>6GB</t>
  </si>
  <si>
    <t>12GB</t>
  </si>
  <si>
    <t xml:space="preserve">12GB 2400Mhz drr4 2 módulos 8 y 4 </t>
  </si>
  <si>
    <t>16GB drr4 2400mhz</t>
  </si>
  <si>
    <t>M.2 512GB</t>
  </si>
  <si>
    <t>SATA 500GB</t>
  </si>
  <si>
    <t>SATA 480GB</t>
  </si>
  <si>
    <t>M.2 1024GB</t>
  </si>
  <si>
    <t>M.2 500GB</t>
  </si>
  <si>
    <t>Mouse</t>
  </si>
  <si>
    <t>LENOVO</t>
  </si>
  <si>
    <t>INTEL</t>
  </si>
  <si>
    <t>Monitor</t>
  </si>
  <si>
    <t>15.6 LENOVO</t>
  </si>
  <si>
    <t>24 SAMSUNG</t>
  </si>
  <si>
    <t>22 SAMSUNG</t>
  </si>
  <si>
    <t>19 LGI</t>
  </si>
  <si>
    <t>24 LGI</t>
  </si>
  <si>
    <t>22 LGI</t>
  </si>
  <si>
    <t>20 LGI</t>
  </si>
  <si>
    <t>15.6" DELL</t>
  </si>
  <si>
    <t>15 LENOVO</t>
  </si>
  <si>
    <t>15.6 DELL</t>
  </si>
  <si>
    <t>Total general</t>
  </si>
  <si>
    <t>Contabilidad</t>
  </si>
  <si>
    <t>Facturacion</t>
  </si>
  <si>
    <t>Distribucion</t>
  </si>
  <si>
    <t xml:space="preserve">NVME BG6 SN740 1024GB </t>
  </si>
  <si>
    <t>Finanzas</t>
  </si>
  <si>
    <t>SubArea</t>
  </si>
  <si>
    <t>PRODUCCION</t>
  </si>
  <si>
    <t>Desarrollo</t>
  </si>
  <si>
    <t>Estado1</t>
  </si>
  <si>
    <t>Estado2</t>
  </si>
  <si>
    <t>Activo</t>
  </si>
  <si>
    <t>CAMBIO</t>
  </si>
  <si>
    <t>BUENA</t>
  </si>
  <si>
    <t>ACEPTABLE - CAMBIO</t>
  </si>
  <si>
    <t>LAP-VENTAS2</t>
  </si>
  <si>
    <t>acobranzas</t>
  </si>
  <si>
    <t>Carlos Sanchez</t>
  </si>
  <si>
    <t>Lenovo ideapad S340-15IWL</t>
  </si>
  <si>
    <t>8GB DDR4 2400mhz</t>
  </si>
  <si>
    <t>15.6" lenovo</t>
  </si>
  <si>
    <t>Mouse genius</t>
  </si>
  <si>
    <t>Mantenimiento</t>
  </si>
  <si>
    <t>Mijail Giovanni Villaverde Dueñas</t>
  </si>
  <si>
    <t>B560M DS3H V2</t>
  </si>
  <si>
    <t>8GB DDR4 2600MHZ</t>
  </si>
  <si>
    <t>Kingston SNV250G</t>
  </si>
  <si>
    <t>22MK400H-B LG 22"</t>
  </si>
  <si>
    <t>Teclado logitech K120, Mouse Logitech</t>
  </si>
  <si>
    <t>Mantenimiento pc lentitud</t>
  </si>
  <si>
    <t>Richard Sapan Carlos</t>
  </si>
  <si>
    <t>H510M H GIGABYTE</t>
  </si>
  <si>
    <t>Kingston SNV 500GB</t>
  </si>
  <si>
    <t>F22T350FHL, Samsung, 22"</t>
  </si>
  <si>
    <t>Teclado y Mouse</t>
  </si>
  <si>
    <t>Canto Bello 177</t>
  </si>
  <si>
    <t>Si</t>
  </si>
  <si>
    <t>Laptop Inspiron 15</t>
  </si>
  <si>
    <t xml:space="preserve">8GB Drr4 3200MHZ </t>
  </si>
  <si>
    <t>SSD 512 Nvme micron</t>
  </si>
  <si>
    <t>M.2 250GB</t>
  </si>
  <si>
    <t>Dell inspiron 15</t>
  </si>
  <si>
    <t>Mantenimiento - cambio de teclado</t>
  </si>
  <si>
    <t>OPTIMO - REPOTENCIAR</t>
  </si>
  <si>
    <t>BUENA - REPOTENCIAR</t>
  </si>
  <si>
    <t>Valor</t>
  </si>
  <si>
    <t>total</t>
  </si>
  <si>
    <t>Estado3</t>
  </si>
  <si>
    <t>Estado2Valor</t>
  </si>
  <si>
    <t>Total BUENA</t>
  </si>
  <si>
    <t>Total BUENA - REPOTENCIAR</t>
  </si>
  <si>
    <t>Total OPTIMO - REPOTENCIAR</t>
  </si>
  <si>
    <t>Total ACEPTABLE - CAMBIO</t>
  </si>
  <si>
    <t>Total CAMBIO</t>
  </si>
  <si>
    <t>Cont</t>
  </si>
  <si>
    <t>(en blanco)</t>
  </si>
  <si>
    <t>CAMBIO Y VENTA</t>
  </si>
  <si>
    <t>VENTA O REPOTENCIAR</t>
  </si>
  <si>
    <t>Jeferson Amaro</t>
  </si>
  <si>
    <t>Wilmer Amasifuen</t>
  </si>
  <si>
    <t>Jhonny Davila</t>
  </si>
  <si>
    <t>Cargo</t>
  </si>
  <si>
    <t>Lider</t>
  </si>
  <si>
    <t>Mirian Rosa Flores Fernandez</t>
  </si>
  <si>
    <t>Pendiente</t>
  </si>
  <si>
    <t>COMPRA</t>
  </si>
  <si>
    <t xml:space="preserve">ASUS EXPERTBOOK P1 P1503CVA-S71410 </t>
  </si>
  <si>
    <t xml:space="preserve">16GB 5200 MHZ DDR5 </t>
  </si>
  <si>
    <t xml:space="preserve">NVME 512GB </t>
  </si>
  <si>
    <t>15.6" ASUS</t>
  </si>
  <si>
    <t>Xiomara Asunción Castañeda Santiago</t>
  </si>
  <si>
    <t>Jhonny Cristopher Davila Rivera</t>
  </si>
  <si>
    <t>TipoEQ</t>
  </si>
  <si>
    <t>TipoDES</t>
  </si>
  <si>
    <t>Laptop</t>
  </si>
  <si>
    <t>i7-135620h | 16GB DDR5| SSD 512GB| 15.6FHD</t>
  </si>
  <si>
    <t>PC</t>
  </si>
  <si>
    <t xml:space="preserve">I7 12700| PLACA ASUS H610| 16 GB DDR4 (2X8)| KINGSTON 500GB NV3 M.2| CASE HALIO + FUENTE DE PODER 500W| MONITOR SAMSUNG 27" IPS 1080P </t>
  </si>
  <si>
    <t>Estado4</t>
  </si>
  <si>
    <t>Gerente de finanzas</t>
  </si>
  <si>
    <t>Jefe de proyectos</t>
  </si>
  <si>
    <t>Nuevo local</t>
  </si>
  <si>
    <t>Asistente de desarrollo de productos</t>
  </si>
  <si>
    <t>Coordinador de desarrollo de productos</t>
  </si>
  <si>
    <t>Operaciones</t>
  </si>
  <si>
    <t>Jefe de operaciones</t>
  </si>
  <si>
    <t>Asistente de Distribución</t>
  </si>
  <si>
    <t>apinedo</t>
  </si>
  <si>
    <t>Alfonso Pinedo</t>
  </si>
  <si>
    <t>Asesor Contable</t>
  </si>
  <si>
    <t>Asistente de Almacen</t>
  </si>
  <si>
    <t>I5-7200</t>
  </si>
  <si>
    <t>Laptop lenovo thinkpad E570</t>
  </si>
  <si>
    <t>Teclado, apartado de red, Mouse y vga</t>
  </si>
  <si>
    <t>H81M-H</t>
  </si>
  <si>
    <t>4GB ddr3 1600mhz</t>
  </si>
  <si>
    <t>240GB WD GREEN</t>
  </si>
  <si>
    <t>22MK400H-8 LG 22"</t>
  </si>
  <si>
    <t>Teclado, Mouse</t>
  </si>
  <si>
    <t>Amd a12 9800e radeon r7</t>
  </si>
  <si>
    <t>.</t>
  </si>
  <si>
    <t>8gb ddr3</t>
  </si>
  <si>
    <t>240GB WD Green</t>
  </si>
  <si>
    <t>Mouse y teclado</t>
  </si>
  <si>
    <t>Amd radeon A12-9800 RADEON R7</t>
  </si>
  <si>
    <t>8GB DDR3 1600MHZ</t>
  </si>
  <si>
    <t>Kingston SA400S3240 240GB</t>
  </si>
  <si>
    <t>22M38M-B LG 22"</t>
  </si>
  <si>
    <t>Laptop lenovo 81n8</t>
  </si>
  <si>
    <t>8GB DDR4 3200MHZ</t>
  </si>
  <si>
    <t>Mouse, adaptador vga a hdmi, adaptador ethernet.</t>
  </si>
  <si>
    <t>I3-7100 intel</t>
  </si>
  <si>
    <t>H110M-H GIGABYTE</t>
  </si>
  <si>
    <t>WD GREEN 2.5 240GB</t>
  </si>
  <si>
    <t>S22F350FHL SAMSUNG 22"</t>
  </si>
  <si>
    <t>Teclado y mouse</t>
  </si>
  <si>
    <t>6GB DDR3 1333MHZ</t>
  </si>
  <si>
    <t>19M38A LG</t>
  </si>
  <si>
    <t>Merly</t>
  </si>
  <si>
    <t>Valery</t>
  </si>
  <si>
    <t>Pc-conta5</t>
  </si>
  <si>
    <t>Beatriz</t>
  </si>
  <si>
    <t>Carlos</t>
  </si>
  <si>
    <t>Comercial</t>
  </si>
  <si>
    <t>Mirian</t>
  </si>
  <si>
    <t>Xiomara</t>
  </si>
  <si>
    <t>240gb Kingston SSD</t>
  </si>
  <si>
    <t>15.6 y 19"</t>
  </si>
  <si>
    <t>VELA CHUQUIPIO LIDIA MARITZA</t>
  </si>
  <si>
    <t>Auxiliar Contable</t>
  </si>
  <si>
    <t>FORZA FVR902</t>
  </si>
  <si>
    <t>FLORES RUBIN JACKELINE MERLY</t>
  </si>
  <si>
    <t>SANCHEZ CAMINO MARIA VALERY</t>
  </si>
  <si>
    <t>asistente de contabilidad</t>
  </si>
  <si>
    <t>acostos</t>
  </si>
  <si>
    <t>HUANCA HUERTO, NICOLA REYMUNDO</t>
  </si>
  <si>
    <t>nhuanca</t>
  </si>
  <si>
    <t>LUISA LUYO</t>
  </si>
  <si>
    <t>LAP-GPCB003</t>
  </si>
  <si>
    <t>LAP-GPCB002</t>
  </si>
  <si>
    <t>LAP-GPCB004</t>
  </si>
  <si>
    <t>LAP-GPCB001</t>
  </si>
  <si>
    <t>RYZEN 7-7735HS | 16GB DDR5| SSD 512GB| 15.6FHD</t>
  </si>
  <si>
    <t>RYZEN 7-7735HS</t>
  </si>
  <si>
    <t>RYZEN 7</t>
  </si>
  <si>
    <t>FORZA FVR</t>
  </si>
  <si>
    <t>Asistente contable</t>
  </si>
  <si>
    <t>#N/D</t>
  </si>
  <si>
    <t>Total (en blanco)</t>
  </si>
  <si>
    <t>Total COMPRA</t>
  </si>
  <si>
    <t>Total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</si>
</sst>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5B3F8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2" fillId="3" borderId="4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3" fillId="5" borderId="4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0" xfId="0" pivotButton="1"/>
    <xf numFmtId="0" fontId="0" fillId="0" borderId="9" xfId="0" applyBorder="1"/>
    <xf numFmtId="0" fontId="6" fillId="2" borderId="10" xfId="0" applyFont="1" applyFill="1" applyBorder="1"/>
    <xf numFmtId="0" fontId="6" fillId="2" borderId="3" xfId="0" applyFont="1" applyFill="1" applyBorder="1"/>
    <xf numFmtId="0" fontId="6" fillId="2" borderId="1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7" fillId="0" borderId="0" xfId="0" pivotButton="1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7" fillId="0" borderId="1" xfId="0" pivotButton="1" applyFont="1" applyBorder="1"/>
    <xf numFmtId="0" fontId="0" fillId="0" borderId="1" xfId="0" pivotButton="1" applyBorder="1"/>
    <xf numFmtId="0" fontId="0" fillId="0" borderId="1" xfId="0" pivotButton="1" applyBorder="1" applyAlignment="1">
      <alignment horizontal="center" vertical="center"/>
    </xf>
    <xf numFmtId="0" fontId="7" fillId="0" borderId="0" xfId="0" pivotButton="1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7" borderId="1" xfId="0" applyFill="1" applyBorder="1"/>
    <xf numFmtId="0" fontId="0" fillId="7" borderId="14" xfId="0" applyFill="1" applyBorder="1"/>
    <xf numFmtId="0" fontId="0" fillId="7" borderId="14" xfId="0" applyFill="1" applyBorder="1" applyAlignment="1">
      <alignment horizontal="center"/>
    </xf>
    <xf numFmtId="0" fontId="0" fillId="7" borderId="15" xfId="0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Fill="1"/>
    <xf numFmtId="0" fontId="6" fillId="0" borderId="0" xfId="0" applyFont="1" applyFill="1"/>
    <xf numFmtId="0" fontId="0" fillId="0" borderId="0" xfId="0" applyBorder="1"/>
  </cellXfs>
  <cellStyles count="1">
    <cellStyle name="Normal" xfId="0" builtinId="0"/>
  </cellStyles>
  <dxfs count="1240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uestas de formulario 1-style" pivot="0" count="4" xr9:uid="{086E00CF-41DA-464B-A5BC-3E0D30C8639E}">
      <tableStyleElement type="wholeTable" size="0" dxfId="12403"/>
      <tableStyleElement type="headerRow" dxfId="12402"/>
      <tableStyleElement type="firstRowStripe" dxfId="12401"/>
      <tableStyleElement type="secondRowStripe" dxfId="124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r" refreshedDate="46123.490135879627" createdVersion="8" refreshedVersion="8" minRefreshableVersion="3" recordCount="77" xr:uid="{13B13AEA-6FF0-49C2-BFEA-1E1AC49DB7BE}">
  <cacheSource type="worksheet">
    <worksheetSource name="TabINV2026"/>
  </cacheSource>
  <cacheFields count="29">
    <cacheField name="SEDE" numFmtId="0">
      <sharedItems containsBlank="1" containsMixedTypes="1" containsNumber="1" containsInteger="1" minValue="177" maxValue="200" count="6">
        <n v="200"/>
        <n v="177"/>
        <s v="CAMBIO"/>
        <m/>
        <s v="Total CAMBIO"/>
        <s v="Nuevo local"/>
      </sharedItems>
    </cacheField>
    <cacheField name="AREA" numFmtId="0">
      <sharedItems containsBlank="1" count="19">
        <s v="LOGISTICA"/>
        <s v="FINANZAS"/>
        <s v="COMERCIAL"/>
        <s v="CONTABILIDAD"/>
        <s v="GGHH"/>
        <s v="CALIDAD"/>
        <s v="PRODUCCION"/>
        <m/>
        <s v="SISTEMAS"/>
        <s v="ALMACEN" u="1"/>
        <s v="Importaciones" u="1"/>
        <s v="Cobranzas" u="1"/>
        <s v="Ventas" u="1"/>
        <s v="Marketing" u="1"/>
        <s v="RRHH" u="1"/>
        <s v="Facturacion" u="1"/>
        <s v="Digitacion" u="1"/>
        <s v="Despacho" u="1"/>
        <s v="Distribucion" u="1"/>
      </sharedItems>
    </cacheField>
    <cacheField name="SubArea" numFmtId="0">
      <sharedItems containsBlank="1" count="18">
        <s v="Importaciones"/>
        <s v="Cobranzas"/>
        <s v="Ventas"/>
        <s v="Contabilidad"/>
        <s v="Marketing"/>
        <s v="SSOMA"/>
        <s v="RRHH"/>
        <s v="Facturacion"/>
        <s v="Almacen"/>
        <s v="Despacho"/>
        <s v="Calidad"/>
        <s v="Desarrollo"/>
        <m/>
        <s v="Finanzas"/>
        <s v="Sistemas"/>
        <s v="Operaciones"/>
        <s v="Distribucion"/>
        <s v="Produccion" u="1"/>
      </sharedItems>
    </cacheField>
    <cacheField name="HOSTNAME" numFmtId="0">
      <sharedItems containsBlank="1" count="60">
        <s v="LAP-DAMACENG"/>
        <s v="LAP-PLANNER"/>
        <s v="PC-FACTURACION4"/>
        <s v="PC-COBRANZA3"/>
        <s v="PC-TDA3"/>
        <s v="PC-CONTA3"/>
        <s v="PC-COBRANZA2"/>
        <s v="PC-COBRANZA4"/>
        <s v="PC-COBRANZA1"/>
        <s v="PC-CAMPO7"/>
        <s v="LAP-VENTAS"/>
        <s v="PC-DIGITACION2"/>
        <s v="PC-HORECA"/>
        <s v="PC-DIGITACION1"/>
        <s v="PC-PROVINCIAS"/>
        <s v="PC-VENTAS4"/>
        <s v="PC-ALMACEN1"/>
        <s v="PC-MAYORISTA2"/>
        <s v="PC-VENTAS2"/>
        <s v="PC-SISTEMAS2"/>
        <s v="PC-VENTAS3 "/>
        <s v="PC-PROVINCIA2"/>
        <s v="PC-IMPORTACIONES2"/>
        <s v="PC-CONTA5"/>
        <s v="PC-CONTA2"/>
        <s v="PC-CONTA6"/>
        <s v="PC-FINANZAS"/>
        <s v="PC-MARKETING"/>
        <s v="LAP-FINANZAS"/>
        <s v="PC-SSOMA"/>
        <s v="PC-RRHH"/>
        <s v="PC-GGHH"/>
        <s v="LAP-RRHH"/>
        <s v="PC-DIGITACION3"/>
        <s v="PC-DIGITACION4"/>
        <s v="LAP-CONTADORG"/>
        <s v="PC-IMPORTACIONES3"/>
        <s v="PC-COORDINADOR2"/>
        <s v="LAP-SOPORTE"/>
        <s v="LAP-GERENCIA2"/>
        <s v="PC-DESARROLLO1"/>
        <s v="PC-FACTURACION3 "/>
        <s v="PC-DESARROLLO2"/>
        <s v="COMPUTADORA"/>
        <m/>
        <s v="LAP-GPCB004"/>
        <s v="LAP-GPCB003"/>
        <s v="LAP-GPCB001"/>
        <s v="LAP-GPCB002" u="1"/>
        <s v="PC-CALIDAD2" u="1"/>
        <s v="PC-DESARROLLO " u="1"/>
        <s v="PC-ALMACEN3" u="1"/>
        <s v="PC-TDA4" u="1"/>
        <s v="PC-SISTEMAS1" u="1"/>
        <s v="LAP-SISTEMAS" u="1"/>
        <s v="LAP-VENTAS2" u="1"/>
        <s v="PC-CONTA1" u="1"/>
        <s v="PC-MARKETING2" u="1"/>
        <s v="LAP-GERENCIA1" u="1"/>
        <s v="PC-DISTRIBUCION" u="1"/>
      </sharedItems>
    </cacheField>
    <cacheField name="usuario" numFmtId="0">
      <sharedItems containsBlank="1" count="71">
        <s v="emontoya"/>
        <s v="projas"/>
        <s v="Lpare"/>
        <s v="nhuanca"/>
        <s v="ncruz"/>
        <s v="kquispe"/>
        <s v="wamasifuen"/>
        <s v="mpari"/>
        <s v="pespejo"/>
        <s v="jrios"/>
        <s v="jrashta"/>
        <s v="jroman"/>
        <s v="rrojas"/>
        <s v="vgutierrez"/>
        <s v="jbarboza"/>
        <s v="jpaz"/>
        <s v="jgonzales"/>
        <s v="rmorante"/>
        <s v="lquispe"/>
        <s v="wvasquez"/>
        <s v="acontable"/>
        <s v="msanchez"/>
        <s v="acostos"/>
        <s v="vortiz"/>
        <s v="fleon"/>
        <s v="jquiroz"/>
        <s v="agonzales"/>
        <s v="usuariorh"/>
        <s v="sysla"/>
        <s v="eore"/>
        <s v="bcruz"/>
        <s v="laraujo"/>
        <s v="udigitacion"/>
        <s v="mcondori"/>
        <s v="usudespacho"/>
        <s v="dlopez"/>
        <s v="mmoran"/>
        <s v="brodriguez"/>
        <s v="Jhon Rashta "/>
        <s v="Nataly Cruz"/>
        <s v="Ricardo Rojas "/>
        <s v="Mirian Rosa Flores Fernandez"/>
        <s v="Xiomara Asunción Castañeda Santiago"/>
        <s v="Jhonny Cristopher Davila Rivera"/>
        <s v="FLORES RUBIN JACKELINE MERLY"/>
        <s v="Wilmer Amasifuen"/>
        <s v="HUANCA HUERTO, NICOLA REYMUNDO"/>
        <s v="SANCHEZ CAMINO MARIA VALERY"/>
        <s v="Beatriz"/>
        <s v="Tashina"/>
        <s v="Adrian Gonzales"/>
        <s v="Brissteh Rodriguez"/>
        <m/>
        <s v="apinedo"/>
        <s v="amendoza"/>
        <s v="mluyo"/>
        <s v="vhuaman"/>
        <s v="apaz" u="1"/>
        <s v="lrojas" u="1"/>
        <s v="dsaldaña" u="1"/>
        <s v="gsilva " u="1"/>
        <s v="jrua" u="1"/>
        <s v="emontoro" u="1"/>
        <s v="dortiz" u="1"/>
        <s v="acobranzas" u="1"/>
        <s v="mvillaverde" u="1"/>
        <s v="rsapana" u="1"/>
        <s v="mflores" u="1"/>
        <s v="xcastañeda" u="1"/>
        <s v="jdavila" u="1"/>
        <s v="cmontalvo" u="1"/>
      </sharedItems>
    </cacheField>
    <cacheField name="Responsable" numFmtId="0">
      <sharedItems containsBlank="1" count="72">
        <s v="Emily Montoya"/>
        <s v="Paulo Rojas"/>
        <s v="Luis Pare"/>
        <s v="HUANCA HUERTO, NICOLA REYMUNDO"/>
        <s v="Nataly Cruz"/>
        <s v="Kristell Quispe"/>
        <s v="Wilmer Amasifuen"/>
        <s v="Mirko Pari"/>
        <s v="Pedro Espejo"/>
        <s v="Eduardo Rojas"/>
        <s v="Jorge Rios"/>
        <s v="Jhon Rashta "/>
        <s v="Carlo Alva Gamarra "/>
        <s v="Ricardo Rojas "/>
        <s v="Virgilio  gutierrez"/>
        <s v="Jhonny Davila"/>
        <s v="Jefferson Paz"/>
        <s v="Juditza Gonzales"/>
        <s v="Rosselyn Morante "/>
        <s v="Alexandra Roman"/>
        <s v="Lesly Quispe "/>
        <s v="Walter Vasquez "/>
        <s v="Merly Flores"/>
        <s v="SANCHEZ CAMINO MARIA VALERY"/>
        <s v="FLORES RUBIN JACKELINE MERLY"/>
        <s v="Beatriz"/>
        <s v="Victor Ortiz"/>
        <s v="Alexander Flores"/>
        <s v="Juan Pablo Quiroz Auqui"/>
        <s v="Adrian Gonzales"/>
        <s v="Tashina"/>
        <s v="Sandra Ysla"/>
        <s v="Eric Ore"/>
        <s v="Frank  Culqui Condor "/>
        <s v="Joseph Rashta"/>
        <s v="Juan Carlos"/>
        <s v="Rafael casaguaypa"/>
        <s v="Omar Cruz"/>
        <s v="Jeferson Amaro"/>
        <s v="Deysi Lopez"/>
        <s v="Gustavo Silva"/>
        <s v="Maria Moran"/>
        <s v="Brissteh Rodriguez"/>
        <s v="I5"/>
        <s v="I3"/>
        <s v="I7"/>
        <s v="I7 AMD "/>
        <s v="PENTIUM"/>
        <m/>
        <s v="Alfonso Pinedo"/>
        <s v="VELA CHUQUIPIO LIDIA MARITZA"/>
        <s v="Anthony Mendoza"/>
        <s v="LUISA LUYO"/>
        <s v="VICTOR HUAMAN"/>
        <s v="Alex Paz " u="1"/>
        <s v="Luis Rojas" u="1"/>
        <s v="Dik Saldaña" u="1"/>
        <s v="Braian steven de la cruz" u="1"/>
        <s v="JOSUE RUA" u="1"/>
        <s v="Edwyn Montoro" u="1"/>
        <s v="DOMINICK ORTIZ" u="1"/>
        <s v="Carlos Sanchez" u="1"/>
        <s v="Mijail Giovanni Villaverde Dueñas" u="1"/>
        <s v="Richard Sapan Carlos" u="1"/>
        <s v="Luis Murillo" u="1"/>
        <s v="Mirian Rosa Flores Fernandez" u="1"/>
        <s v="Xiomara Asunción Castañeda Santiago" u="1"/>
        <s v="Jhonny Cristopher Davila Rivera" u="1"/>
        <s v="Cesar Montalvo" u="1"/>
        <s v="Maria Valery Sanchez Camino" u="1"/>
        <s v="Omar Yarleque" u="1"/>
        <s v="Aun no hay" u="1"/>
      </sharedItems>
    </cacheField>
    <cacheField name="Cargo" numFmtId="0">
      <sharedItems containsBlank="1" containsMixedTypes="1" containsNumber="1" containsInteger="1" minValue="2" maxValue="7"/>
    </cacheField>
    <cacheField name="Estado1" numFmtId="0">
      <sharedItems containsBlank="1"/>
    </cacheField>
    <cacheField name="Estado2" numFmtId="0">
      <sharedItems containsBlank="1" containsMixedTypes="1" containsNumber="1" containsInteger="1" minValue="1" maxValue="1" count="8">
        <s v="BUENA"/>
        <s v="CAMBIO"/>
        <s v="ACEPTABLE - CAMBIO"/>
        <s v="OPTIMO - REPOTENCIAR"/>
        <s v="BUENA - REPOTENCIAR"/>
        <m/>
        <n v="1"/>
        <s v="COMPRA"/>
      </sharedItems>
    </cacheField>
    <cacheField name="Estado4" numFmtId="0">
      <sharedItems containsBlank="1" containsMixedTypes="1" containsNumber="1" containsInteger="1" minValue="1" maxValue="13"/>
    </cacheField>
    <cacheField name="TipoEQ" numFmtId="0">
      <sharedItems containsBlank="1" containsMixedTypes="1" containsNumber="1" containsInteger="1" minValue="1" maxValue="14"/>
    </cacheField>
    <cacheField name="TipoDES" numFmtId="0">
      <sharedItems containsBlank="1"/>
    </cacheField>
    <cacheField name="Estado2Valor" numFmtId="0">
      <sharedItems containsBlank="1" containsMixedTypes="1" containsNumber="1" containsInteger="1" minValue="1" maxValue="5" count="7">
        <n v="5"/>
        <n v="1"/>
        <n v="2"/>
        <n v="3"/>
        <n v="4"/>
        <e v="#N/A"/>
        <m/>
      </sharedItems>
    </cacheField>
    <cacheField name="Estado3" numFmtId="0">
      <sharedItems containsBlank="1"/>
    </cacheField>
    <cacheField name="PROCESADOR" numFmtId="0">
      <sharedItems containsBlank="1" count="7">
        <s v="I5"/>
        <s v="I7"/>
        <s v="I3"/>
        <s v="I7 AMD "/>
        <s v="PENTIUM"/>
        <s v="RYZEN 7"/>
        <m/>
      </sharedItems>
    </cacheField>
    <cacheField name="GENPROCESADOR" numFmtId="0">
      <sharedItems containsString="0" containsBlank="1" containsNumber="1" containsInteger="1" minValue="2" maxValue="13" count="13">
        <n v="10"/>
        <n v="12"/>
        <n v="11"/>
        <n v="2"/>
        <n v="7"/>
        <n v="4"/>
        <n v="5"/>
        <n v="8"/>
        <n v="3"/>
        <n v="6"/>
        <n v="9"/>
        <m/>
        <n v="13"/>
      </sharedItems>
    </cacheField>
    <cacheField name="DESCPROCESADOR" numFmtId="0">
      <sharedItems containsBlank="1" count="40">
        <s v="I5-10210U"/>
        <s v="I7-12700H"/>
        <s v="I5-11400 Intel"/>
        <s v="I3-2120 intel"/>
        <s v="I3-7100 Intel "/>
        <s v="I3-4170 intel"/>
        <s v="I5-11400 2.6 GHZ"/>
        <s v="A12-9800E Radeon R7, 12 compute Cores 4C+8G"/>
        <s v="A12-9800E Radeon R7, 12 COMPUTE 4C+8G"/>
        <s v="I5-8265U Intel "/>
        <s v="I5-3330 intel"/>
        <s v="I5-6400"/>
        <s v="I5-3330 "/>
        <s v="I3-7100U"/>
        <s v="I7-4790"/>
        <s v="I3-7100"/>
        <s v="I7-11700"/>
        <s v="I5-10400F"/>
        <s v="I5-11400 "/>
        <s v="AMD A12 9800E-9800"/>
        <s v="I3-4160"/>
        <s v="AMD A12-9800E Radeon R7 12 Compute cores 4c+8G"/>
        <s v="I5-9400F"/>
        <s v="I7-11700 "/>
        <s v="I7-1255U"/>
        <s v="I3-4170"/>
        <s v="I5-4440"/>
        <s v="I5-11400F"/>
        <s v="I3-1005G1"/>
        <s v="I5-11400"/>
        <s v="I5-1235U"/>
        <s v="AMD A12 9800E RADEON R7 12 COMPUTER"/>
        <s v="I7-7500U"/>
        <s v="Intel pentium G2010"/>
        <s v="RYZEN 7-7735HS"/>
        <s v="i5-10400"/>
        <s v="I7-1360P"/>
        <s v="I5-8265U"/>
        <m/>
        <s v="I5-7200"/>
      </sharedItems>
    </cacheField>
    <cacheField name="TIPO" numFmtId="0">
      <sharedItems containsBlank="1" count="4">
        <s v="LAPTOP"/>
        <s v="COMPUTADORA"/>
        <s v="NUC"/>
        <m/>
      </sharedItems>
    </cacheField>
    <cacheField name="MARCA" numFmtId="0">
      <sharedItems containsBlank="1"/>
    </cacheField>
    <cacheField name="DESCPLACAMADRE" numFmtId="0">
      <sharedItems containsBlank="1"/>
    </cacheField>
    <cacheField name="RAM" numFmtId="0">
      <sharedItems containsBlank="1" count="6">
        <s v="16GB"/>
        <s v="4GB"/>
        <s v="8GB"/>
        <s v="12GB"/>
        <s v="6GB"/>
        <m/>
      </sharedItems>
    </cacheField>
    <cacheField name="DESCRAM" numFmtId="0">
      <sharedItems containsBlank="1" count="40">
        <s v="16GB 3200MHZ drr4"/>
        <s v="16GB 3200mhz drr4 "/>
        <s v="4GB 1333mhz drr3"/>
        <s v="8GB 2400 MHZ DRR4 "/>
        <s v="8GB 3200MHZ DRR4  2 módulos de 4 "/>
        <s v="8GB 1600MHZ DRR3"/>
        <s v="8GB 2600 MHZ drr4"/>
        <s v="8GB 1200MHZ drr3"/>
        <s v="12GB 2400Mhz drr4 2 módulos 8 y 4 "/>
        <s v="4GB drr3 1600mhz"/>
        <s v="8GB 2133 MHZ drr4"/>
        <s v="4GB 1333 MHZ DRR3 "/>
        <s v="8GB 1600 MHZ DDR3"/>
        <s v="8GB 2400mhz DDR4"/>
        <s v="8GB 2100MHZ DDR4"/>
        <s v="16GB 2666MHZ DDR4"/>
        <s v="8GB 2600 MHZ DDR4"/>
        <s v="8GB 2666MHZ DDR4"/>
        <s v="8GB 1200MHZ DDR3"/>
        <s v="4GB 1600MHZ DDR3"/>
        <s v="16GB"/>
        <s v="8GB 1600MHZ DDR3"/>
        <s v="8GB 1600MHZ DDR3 "/>
        <s v="8GB DDR4 3200mhz"/>
        <s v="16GB 3200MHZ DDR4"/>
        <s v="8GB 3200mhz DDR4"/>
        <s v="8GB DDR3 1200MHZ"/>
        <s v="16GB drr4 2400mhz"/>
        <s v="16GB DRR4 3200MHZ"/>
        <s v="8GB 3200MHZ DDR4 "/>
        <s v="16GB 3200mhz DDR4 "/>
        <s v="4GB DDR3 1200MHZ"/>
        <s v="16GB 5200 MHZ DDR5 "/>
        <s v="16GB 3200MHZ"/>
        <s v="16 GB drr4 3200MHZ"/>
        <s v="8GB DDR4 2400mhz"/>
        <s v="8GB DDR4 2600MHZ"/>
        <s v="8GB Drr4 3200MHZ "/>
        <s v="6GB 1333MHZ ddr3"/>
        <m/>
      </sharedItems>
    </cacheField>
    <cacheField name="DISCO" numFmtId="0">
      <sharedItems containsBlank="1"/>
    </cacheField>
    <cacheField name="DESCDISCO" numFmtId="0">
      <sharedItems containsBlank="1"/>
    </cacheField>
    <cacheField name="Monitor" numFmtId="0">
      <sharedItems containsBlank="1"/>
    </cacheField>
    <cacheField name="DESCMONITOR" numFmtId="0">
      <sharedItems containsBlank="1" containsMixedTypes="1" containsNumber="1" minValue="15.6" maxValue="15.6"/>
    </cacheField>
    <cacheField name="PERIFERICOS" numFmtId="0">
      <sharedItems containsBlank="1"/>
    </cacheField>
    <cacheField name="Estabilizador" numFmtId="0">
      <sharedItems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x v="0"/>
    <x v="0"/>
    <x v="0"/>
    <x v="0"/>
    <x v="0"/>
    <s v="Responsable"/>
    <s v="Activo"/>
    <x v="0"/>
    <s v="Pendiente"/>
    <s v="Laptop"/>
    <s v="i7-135620h | 16GB DDR5| SSD 512GB| 15.6FHD"/>
    <x v="0"/>
    <s v="BUENA"/>
    <x v="0"/>
    <x v="0"/>
    <x v="0"/>
    <x v="0"/>
    <s v="LENOVO"/>
    <s v="Laptop L15 GEN 1"/>
    <x v="0"/>
    <x v="0"/>
    <s v="SATA 240GB"/>
    <s v="240 GB SSD sata"/>
    <s v="15.6 LENOVO"/>
    <s v="15.6&quot;&quot; lenovo laptop"/>
    <s v="Cargador 65W CAN ICES-3(B)_x000a__x000a_Teclado logitech membrana "/>
    <s v="Forza FVR 902"/>
    <s v="Lentitud de red, temperatura caliente por horas de uso continuo. "/>
  </r>
  <r>
    <x v="0"/>
    <x v="0"/>
    <x v="0"/>
    <x v="1"/>
    <x v="1"/>
    <x v="1"/>
    <s v="Lider"/>
    <s v="Activo"/>
    <x v="0"/>
    <s v="Pendiente"/>
    <s v="Laptop"/>
    <s v="i7-135620h | 16GB DDR5| SSD 512GB| 15.6FHD"/>
    <x v="0"/>
    <s v="BUENA"/>
    <x v="1"/>
    <x v="1"/>
    <x v="1"/>
    <x v="0"/>
    <s v="ASUS"/>
    <s v="Laptop Asus Vivobook"/>
    <x v="0"/>
    <x v="0"/>
    <s v="M.2 512GB"/>
    <s v="NVME M.2 MTFDKBK512QFM 512GB"/>
    <s v="15.6 LENOVO"/>
    <s v="15.6 LAPTOP"/>
    <s v="Mouse, mousepad, Cargador ASUS AD2087320"/>
    <s v="Forza FVR-902"/>
    <s v="Suciedad en la laptop futuro mantenimiento."/>
  </r>
  <r>
    <x v="0"/>
    <x v="0"/>
    <x v="0"/>
    <x v="2"/>
    <x v="2"/>
    <x v="2"/>
    <m/>
    <s v="Activo"/>
    <x v="0"/>
    <s v="Pendiente"/>
    <s v="Laptop"/>
    <s v="i7-135620h | 16GB DDR5| SSD 512GB| 15.6FHD"/>
    <x v="0"/>
    <s v="BUENA"/>
    <x v="0"/>
    <x v="2"/>
    <x v="2"/>
    <x v="1"/>
    <s v="COMPATIBLE"/>
    <s v="B560M gigabyte "/>
    <x v="0"/>
    <x v="1"/>
    <s v="SATA 240GB"/>
    <s v="WD 2.5 ssd sata 240GB"/>
    <s v="24 SAMSUNG"/>
    <s v="Samsung S24R35AFHN 24&quot;"/>
    <s v="Teclado genius, mouse logitech, estabilizador "/>
    <s v="Forza FVR 902"/>
    <s v="Teclado desgastado, mouse desgastado, pc mantenimiento suciedad en todo el case"/>
  </r>
  <r>
    <x v="0"/>
    <x v="1"/>
    <x v="1"/>
    <x v="3"/>
    <x v="3"/>
    <x v="3"/>
    <s v="Responsable"/>
    <s v="Activo"/>
    <x v="1"/>
    <s v="Pendiente"/>
    <s v="Laptop"/>
    <s v="i7-135620h | 16GB DDR5| SSD 512GB| 15.6FHD"/>
    <x v="1"/>
    <s v="CAMBIO Y VENTA"/>
    <x v="2"/>
    <x v="3"/>
    <x v="3"/>
    <x v="1"/>
    <s v="COMPATIBLE"/>
    <s v="H61M-DS2 Gigabyte"/>
    <x v="1"/>
    <x v="2"/>
    <s v="SATA 240GB"/>
    <s v="WD 2.5 240GB "/>
    <s v="22 SAMSUNG"/>
    <s v="Samsung S22F350FHL 22&quot;"/>
    <s v="Teclado logitech, estabilizador "/>
    <s v="Estabilizador forza fvr 902"/>
    <s v="Lentitud de pc por componentes antiguos cambio de pc, Teclado las teclas no se ven."/>
  </r>
  <r>
    <x v="0"/>
    <x v="2"/>
    <x v="2"/>
    <x v="4"/>
    <x v="4"/>
    <x v="4"/>
    <m/>
    <s v="Activo"/>
    <x v="1"/>
    <s v="Pendiente"/>
    <s v="Laptop"/>
    <s v="i7-135620h | 16GB DDR5| SSD 512GB| 15.6FHD"/>
    <x v="1"/>
    <s v="CAMBIO Y VENTA"/>
    <x v="2"/>
    <x v="4"/>
    <x v="4"/>
    <x v="1"/>
    <s v="COMPATIBLE"/>
    <s v="H110M-H Gigabyte"/>
    <x v="2"/>
    <x v="3"/>
    <s v="SATA 240GB"/>
    <s v="WD 2.5 240GB"/>
    <s v="22 SAMSUNG"/>
    <s v="Samsung S22FJ350FHL"/>
    <s v="Teclado logitech, mouse logitech"/>
    <s v="Estabilizador FVR 1202USB"/>
    <s v="PC con polvo futuro mantenimiento "/>
  </r>
  <r>
    <x v="0"/>
    <x v="1"/>
    <x v="1"/>
    <x v="5"/>
    <x v="5"/>
    <x v="5"/>
    <s v="Responsable"/>
    <s v="Activo"/>
    <x v="2"/>
    <s v="Pendiente"/>
    <s v="Laptop"/>
    <s v="i7-135620h | 16GB DDR5| SSD 512GB| 15.6FHD"/>
    <x v="2"/>
    <s v="CAMBIO Y VENTA"/>
    <x v="2"/>
    <x v="4"/>
    <x v="4"/>
    <x v="1"/>
    <s v="COMPATIBLE"/>
    <s v="Asus prime H110M-P"/>
    <x v="2"/>
    <x v="4"/>
    <s v="SATA 240GB"/>
    <s v="SSD Kingston SA400S37240G 240GB"/>
    <s v="22 SAMSUNG"/>
    <s v="Samsung F22T350FHL "/>
    <s v="Estabilizador "/>
    <s v="TAIR PLI 1100USB"/>
    <s v="PC con polvo continuo en el case, futuro mantenimiento "/>
  </r>
  <r>
    <x v="0"/>
    <x v="1"/>
    <x v="1"/>
    <x v="6"/>
    <x v="6"/>
    <x v="6"/>
    <m/>
    <s v="Activo"/>
    <x v="1"/>
    <s v="Pendiente"/>
    <s v="PC"/>
    <s v="I7 12700| PLACA ASUS H610| 16 GB DDR4 (2X8)| KINGSTON 500GB NV3 M.2| CASE HALIO + FUENTE DE PODER 500W| MONITOR SAMSUNG 27&quot; IPS 1080P "/>
    <x v="1"/>
    <s v="CAMBIO Y VENTA"/>
    <x v="2"/>
    <x v="5"/>
    <x v="5"/>
    <x v="1"/>
    <s v="COMPATIBLE"/>
    <s v="H810M-H Gigabyte "/>
    <x v="2"/>
    <x v="5"/>
    <s v="SATA 240GB"/>
    <s v="Kingston SA400S37240G 240GB"/>
    <s v="22 SAMSUNG"/>
    <s v="S22F35FHLXPE Samsung 22&quot;"/>
    <s v="Teclad logitech, mouse genius"/>
    <s v="Gambyte"/>
    <s v="Mantenimiento pc sucia, componentes antiguos necesita actualización de equipo, lentitud de equipo"/>
  </r>
  <r>
    <x v="0"/>
    <x v="1"/>
    <x v="1"/>
    <x v="7"/>
    <x v="7"/>
    <x v="7"/>
    <m/>
    <s v="Activo"/>
    <x v="3"/>
    <s v="Pendiente"/>
    <s v="PC"/>
    <s v="I7 12700| PLACA ASUS H610| 16 GB DDR4 (2X8)| KINGSTON 500GB NV3 M.2| CASE HALIO + FUENTE DE PODER 500W| MONITOR SAMSUNG 27&quot; IPS 1080P "/>
    <x v="3"/>
    <s v="VENTA O REPOTENCIAR"/>
    <x v="0"/>
    <x v="2"/>
    <x v="6"/>
    <x v="1"/>
    <s v="COMPATIBLE"/>
    <s v="Asus prime H510M-K R2.0"/>
    <x v="2"/>
    <x v="6"/>
    <s v="SATA 240GB"/>
    <s v="MSI SPATIUM 240GB"/>
    <s v="24 SAMSUNG"/>
    <s v="S24R35AFHN Samsung 24&quot;"/>
    <s v="Teclado genios, mouse genius, estabilizador "/>
    <s v="No cuenta"/>
    <s v="Pc sucia mantenimiento futuro"/>
  </r>
  <r>
    <x v="0"/>
    <x v="1"/>
    <x v="1"/>
    <x v="8"/>
    <x v="8"/>
    <x v="8"/>
    <m/>
    <s v="Activo"/>
    <x v="2"/>
    <s v="Pendiente"/>
    <s v="PC"/>
    <s v="I7 12700| PLACA ASUS H610| 16 GB DDR4 (2X8)| KINGSTON 500GB NV3 M.2| CASE HALIO + FUENTE DE PODER 500W| MONITOR SAMSUNG 27&quot; IPS 1080P "/>
    <x v="2"/>
    <s v="CAMBIO Y VENTA"/>
    <x v="3"/>
    <x v="6"/>
    <x v="7"/>
    <x v="1"/>
    <s v="COMPATIBLE"/>
    <s v="Asustes PRIME A320M-K"/>
    <x v="2"/>
    <x v="7"/>
    <s v="SATA 240GB"/>
    <s v="Kingston SA400S37240G 240GB"/>
    <s v="24 SAMSUNG"/>
    <s v="S24R35AFHN Samsung 24&quot;"/>
    <s v="Teclado logitech, mouse logitech"/>
    <s v="Forza FVR 902"/>
    <s v="Mantenimiento de pc suciedad en el case y componentes"/>
  </r>
  <r>
    <x v="0"/>
    <x v="2"/>
    <x v="2"/>
    <x v="9"/>
    <x v="9"/>
    <x v="9"/>
    <m/>
    <s v="Activo"/>
    <x v="2"/>
    <s v="Pendiente"/>
    <s v="Laptop"/>
    <s v="i7-135620h | 16GB DDR5| SSD 512GB| 15.6FHD"/>
    <x v="2"/>
    <s v="CAMBIO Y VENTA"/>
    <x v="3"/>
    <x v="6"/>
    <x v="8"/>
    <x v="1"/>
    <s v="COMPATIBLE"/>
    <s v="Asustek Prime A320MK "/>
    <x v="2"/>
    <x v="7"/>
    <s v="SATA 240GB"/>
    <s v="Kingston SA400S37240G 240GB"/>
    <s v="19 LGI"/>
    <s v="19M38A-B LG 19&quot;"/>
    <s v="Teclado logitech, mouse logitech, mousepad"/>
    <s v="Forza-1002"/>
    <s v="Problemas de energía, pc mantenimiento sucio case y componentes"/>
  </r>
  <r>
    <x v="0"/>
    <x v="2"/>
    <x v="2"/>
    <x v="10"/>
    <x v="9"/>
    <x v="10"/>
    <s v="Ventas"/>
    <s v="Activo"/>
    <x v="2"/>
    <s v="Pendiente"/>
    <s v="Laptop"/>
    <s v="i7-135620h | 16GB DDR5| SSD 512GB| 15.6FHD"/>
    <x v="2"/>
    <s v="CAMBIO Y VENTA"/>
    <x v="0"/>
    <x v="7"/>
    <x v="9"/>
    <x v="0"/>
    <s v="LENOVO"/>
    <s v="Laptop ipead s340-15iwl"/>
    <x v="3"/>
    <x v="8"/>
    <s v="SATA 240GB"/>
    <s v="Kingston SA400S37240G 240GB"/>
    <s v="15.6 LENOVO"/>
    <n v="15.6"/>
    <s v="Mouse y cargador laptop lenovo"/>
    <s v="PLI 1100 USB "/>
    <s v="Visagra rota, audio desperfecto, temperatura alta futuro mantenimiento "/>
  </r>
  <r>
    <x v="0"/>
    <x v="2"/>
    <x v="2"/>
    <x v="11"/>
    <x v="10"/>
    <x v="11"/>
    <s v="Ventas"/>
    <s v="Activo"/>
    <x v="1"/>
    <s v="Pendiente"/>
    <s v="Laptop"/>
    <s v="i7-135620h | 16GB DDR5| SSD 512GB| 15.6FHD"/>
    <x v="1"/>
    <s v="CAMBIO Y VENTA"/>
    <x v="0"/>
    <x v="8"/>
    <x v="10"/>
    <x v="1"/>
    <s v="COMPATIBLE"/>
    <s v="H61H2-MV ECS"/>
    <x v="1"/>
    <x v="9"/>
    <s v="SATA 240GB"/>
    <s v="Kingston SA400S37240G 240GB"/>
    <s v="24 LGI"/>
    <s v="24mk430h-b LG 24&quot;"/>
    <s v="Teclado logitech, mouse logitech"/>
    <s v="TAIR PLI 1100USB"/>
    <s v="Pc con lentitud, hardaware desactualizado, monitor con raya de Led desgaste. "/>
  </r>
  <r>
    <x v="0"/>
    <x v="2"/>
    <x v="2"/>
    <x v="12"/>
    <x v="11"/>
    <x v="12"/>
    <s v="Ventas"/>
    <s v="Activo"/>
    <x v="2"/>
    <s v="Pendiente"/>
    <s v="Laptop"/>
    <s v="i7-135620h | 16GB DDR5| SSD 512GB| 15.6FHD"/>
    <x v="2"/>
    <s v="CAMBIO Y VENTA"/>
    <x v="0"/>
    <x v="9"/>
    <x v="11"/>
    <x v="1"/>
    <s v="COMPATIBLE"/>
    <s v="Intel B250"/>
    <x v="2"/>
    <x v="10"/>
    <s v="SATA 240GB"/>
    <s v="Gigabyte GP-GSTFS31240GNTD 240GB"/>
    <s v="19 LGI"/>
    <s v="19M38A-B LG 19&quot;"/>
    <s v="Teclado logitech, mouse logitech"/>
    <s v="Forza FVR 902"/>
    <s v="Mouse problemas, mantenimeinto de pc por temperatura"/>
  </r>
  <r>
    <x v="0"/>
    <x v="2"/>
    <x v="2"/>
    <x v="13"/>
    <x v="12"/>
    <x v="13"/>
    <s v="Ventas"/>
    <s v="Activo"/>
    <x v="1"/>
    <s v="Pendiente"/>
    <s v="Laptop"/>
    <s v="i7-135620h | 16GB DDR5| SSD 512GB| 15.6FHD"/>
    <x v="1"/>
    <s v="CAMBIO Y VENTA"/>
    <x v="0"/>
    <x v="8"/>
    <x v="12"/>
    <x v="1"/>
    <s v="COMPATIBLE"/>
    <s v="H61M-DS2 3.0 "/>
    <x v="1"/>
    <x v="11"/>
    <s v="SATA 240GB"/>
    <s v="Kingston SA400S37240G 240GB"/>
    <s v="24 LGI"/>
    <s v="24mk430h-b LG 24&quot;"/>
    <s v="Teclado genius, mouse genius "/>
    <s v="Forza FVR 902"/>
    <s v="Teclado desgastado, cable de video y puerto y mantenimeinto de pc por temperatura falta"/>
  </r>
  <r>
    <x v="0"/>
    <x v="2"/>
    <x v="2"/>
    <x v="14"/>
    <x v="13"/>
    <x v="14"/>
    <s v="Ventas"/>
    <s v="Activo"/>
    <x v="2"/>
    <s v="Pendiente"/>
    <s v="Laptop"/>
    <s v="i7-135620h | 16GB DDR5| SSD 512GB| 15.6FHD"/>
    <x v="2"/>
    <s v="CAMBIO Y VENTA"/>
    <x v="2"/>
    <x v="4"/>
    <x v="13"/>
    <x v="2"/>
    <s v="INTEL"/>
    <s v="NUC7i3BNB"/>
    <x v="2"/>
    <x v="10"/>
    <s v="SATA 240GB"/>
    <s v="Kingston SA400S37240G 240GB"/>
    <s v="22 LGI"/>
    <s v="22MK400H-B LG "/>
    <s v="Logitech teclado, genius mouse "/>
    <s v="CDP RU-AVR"/>
    <s v="Mantenimiento su mini PC"/>
  </r>
  <r>
    <x v="0"/>
    <x v="2"/>
    <x v="2"/>
    <x v="15"/>
    <x v="14"/>
    <x v="15"/>
    <m/>
    <s v="Activo"/>
    <x v="2"/>
    <s v="Pendiente"/>
    <s v="Laptop"/>
    <s v="i7-135620h | 16GB DDR5| SSD 512GB| 15.6FHD"/>
    <x v="2"/>
    <s v="CAMBIO Y VENTA"/>
    <x v="1"/>
    <x v="5"/>
    <x v="14"/>
    <x v="1"/>
    <s v="COMPATIBLE"/>
    <s v="H810M-H Gigabyte "/>
    <x v="2"/>
    <x v="12"/>
    <s v="SATA 240GB"/>
    <s v="Gigabyte GP-GSTF31240GNTD"/>
    <s v="19 LGI"/>
    <s v="19M37A-B LG "/>
    <s v="Teclado genius, mouse Genius"/>
    <s v="Corriente directa"/>
    <s v="Mantenimeinto de pc, cambio de teclado y mouse desgaste"/>
  </r>
  <r>
    <x v="0"/>
    <x v="2"/>
    <x v="2"/>
    <x v="16"/>
    <x v="15"/>
    <x v="16"/>
    <s v="Ventas"/>
    <s v="Activo"/>
    <x v="2"/>
    <s v="Pendiente"/>
    <s v="Laptop"/>
    <s v="i7-135620h | 16GB DDR5| SSD 512GB| 15.6FHD"/>
    <x v="2"/>
    <s v="CAMBIO Y VENTA"/>
    <x v="2"/>
    <x v="4"/>
    <x v="15"/>
    <x v="1"/>
    <s v="COMPATIBLE"/>
    <s v="Asustek Prime H110M-P"/>
    <x v="2"/>
    <x v="13"/>
    <s v="SATA 240GB"/>
    <s v="WD 2.5 240GB"/>
    <s v="24 LGI"/>
    <s v="24mk430h-b LG 24&quot;"/>
    <s v="Teclado logitech, mouse genius "/>
    <s v="UPS BX800L-MS"/>
    <s v="Congelamiento con pc, mantenimiento pc, Teclado esta mal. "/>
  </r>
  <r>
    <x v="0"/>
    <x v="2"/>
    <x v="2"/>
    <x v="17"/>
    <x v="16"/>
    <x v="17"/>
    <m/>
    <s v="Activo"/>
    <x v="2"/>
    <s v="Pendiente"/>
    <s v="PC"/>
    <s v="I7 12700| PLACA ASUS H610| 16 GB DDR4 (2X8)| KINGSTON 500GB NV3 M.2| CASE HALIO + FUENTE DE PODER 500W| MONITOR SAMSUNG 27&quot; IPS 1080P "/>
    <x v="2"/>
    <s v="CAMBIO Y VENTA"/>
    <x v="2"/>
    <x v="4"/>
    <x v="13"/>
    <x v="2"/>
    <s v="INTEL"/>
    <s v="NUC7I3BNB intel"/>
    <x v="2"/>
    <x v="14"/>
    <s v="SATA 240GB"/>
    <s v="Kingston SA400S37240G 240GB"/>
    <s v="24 SAMSUNG"/>
    <s v="S24R35AFHN Samsung 24&quot;"/>
    <s v="Teclado logitech, mouse logitech"/>
    <s v="UPS SPS ONE SALICRU,"/>
    <s v="Mantenimeinto pc físico y digital"/>
  </r>
  <r>
    <x v="0"/>
    <x v="2"/>
    <x v="2"/>
    <x v="18"/>
    <x v="17"/>
    <x v="18"/>
    <m/>
    <s v="Activo"/>
    <x v="2"/>
    <s v="Pendiente"/>
    <s v="PC"/>
    <s v="I7 12700| PLACA ASUS H610| 16 GB DDR4 (2X8)| KINGSTON 500GB NV3 M.2| CASE HALIO + FUENTE DE PODER 500W| MONITOR SAMSUNG 27&quot; IPS 1080P "/>
    <x v="2"/>
    <s v="CAMBIO Y VENTA"/>
    <x v="0"/>
    <x v="9"/>
    <x v="11"/>
    <x v="1"/>
    <s v="COMPATIBLE"/>
    <s v="H110M-H-CF"/>
    <x v="2"/>
    <x v="14"/>
    <s v="SATA 240GB"/>
    <s v="WD 2.5 240GB"/>
    <s v="22 LGI"/>
    <s v="22M38H-B LG "/>
    <s v="Teclado genius, mouse genius "/>
    <s v="UPS SALICRU SPS ONE, forza fvr 1110"/>
    <s v="Fuente de poder ventilador no funciona, mantenimiento a pc general "/>
  </r>
  <r>
    <x v="0"/>
    <x v="2"/>
    <x v="2"/>
    <x v="19"/>
    <x v="14"/>
    <x v="19"/>
    <s v="Ventas"/>
    <s v="Activo"/>
    <x v="0"/>
    <s v="Pendiente"/>
    <s v="Laptop"/>
    <s v="i7-135620h | 16GB DDR5| SSD 512GB| 15.6FHD"/>
    <x v="0"/>
    <s v="BUENA"/>
    <x v="1"/>
    <x v="2"/>
    <x v="16"/>
    <x v="1"/>
    <s v="COMPATIBLE"/>
    <s v="B560M D3SH"/>
    <x v="0"/>
    <x v="15"/>
    <s v="SATA 500GB"/>
    <s v="CT500P2SSD8 500GB"/>
    <s v="24 SAMSUNG"/>
    <s v="S24R35AFHN Samsung 24&quot;"/>
    <s v="Logitech Teclado, Mouse genius"/>
    <s v="UPS SALICRU SPS ONE "/>
    <s v="Mantenimiento PC temperatura alta"/>
  </r>
  <r>
    <x v="0"/>
    <x v="2"/>
    <x v="2"/>
    <x v="20"/>
    <x v="18"/>
    <x v="20"/>
    <s v="Ventas"/>
    <s v="Activo"/>
    <x v="0"/>
    <s v="Pendiente"/>
    <s v="Laptop"/>
    <s v="i7-135620h | 16GB DDR5| SSD 512GB| 15.6FHD"/>
    <x v="0"/>
    <s v="BUENA"/>
    <x v="1"/>
    <x v="2"/>
    <x v="16"/>
    <x v="1"/>
    <s v="COMPATIBLE"/>
    <s v="B560M Gaming HD Gigabyte "/>
    <x v="0"/>
    <x v="15"/>
    <s v="M.2 512GB"/>
    <s v="DAHUA C900 2280 NVME 512GB M.2"/>
    <s v="24 LGI"/>
    <s v="24mk430h-b LG 24&quot;"/>
    <s v="Teclado logitech, mouse logitech"/>
    <s v="UPS SALICRU SPS ONE "/>
    <s v="Mantenimiento PC temperatura alta "/>
  </r>
  <r>
    <x v="0"/>
    <x v="2"/>
    <x v="2"/>
    <x v="21"/>
    <x v="19"/>
    <x v="21"/>
    <s v="Ventas"/>
    <s v="Activo"/>
    <x v="3"/>
    <s v="Pendiente"/>
    <s v="Laptop"/>
    <s v="i7-135620h | 16GB DDR5| SSD 512GB| 15.6FHD"/>
    <x v="3"/>
    <s v="VENTA O REPOTENCIAR"/>
    <x v="0"/>
    <x v="0"/>
    <x v="17"/>
    <x v="1"/>
    <s v="COMPATIBLE"/>
    <s v="H410M S2H V2"/>
    <x v="2"/>
    <x v="16"/>
    <s v="SATA 480GB"/>
    <s v="CT480BX500SSD1 480 SSD"/>
    <s v="24 SAMSUNG"/>
    <s v="F24T350FHL Samsung 24&quot;"/>
    <s v="Teclado logitech, Mouse logitech "/>
    <s v="Forza FVR 902"/>
    <s v="Insuficiente memoria ram, se apaga solo, mantenimiento pc por temperatura."/>
  </r>
  <r>
    <x v="0"/>
    <x v="3"/>
    <x v="3"/>
    <x v="22"/>
    <x v="20"/>
    <x v="22"/>
    <m/>
    <s v="Activo"/>
    <x v="3"/>
    <s v="Pendiente"/>
    <s v="PC"/>
    <s v="I7 12700| PLACA ASUS H610| 16 GB DDR4 (2X8)| KINGSTON 500GB NV3 M.2| CASE HALIO + FUENTE DE PODER 500W| MONITOR SAMSUNG 27&quot; IPS 1080P "/>
    <x v="3"/>
    <s v="VENTA O REPOTENCIAR"/>
    <x v="0"/>
    <x v="2"/>
    <x v="18"/>
    <x v="1"/>
    <s v="COMPATIBLE"/>
    <s v="PRIME H510M-K R2.0"/>
    <x v="2"/>
    <x v="17"/>
    <s v="SATA 240GB"/>
    <s v="Kingston SA400S37240G 240GB"/>
    <s v="20 LGI"/>
    <s v="20M47A-B LG"/>
    <s v="Teclado genius, mouse logitech"/>
    <s v="Gambyte "/>
    <s v="Insuficiente memoria ram, mantenimiento por temperatura alta "/>
  </r>
  <r>
    <x v="0"/>
    <x v="1"/>
    <x v="3"/>
    <x v="23"/>
    <x v="21"/>
    <x v="23"/>
    <s v="asistente de contabilidad"/>
    <s v="Activo"/>
    <x v="1"/>
    <s v="Pendiente"/>
    <s v="PC"/>
    <s v="I7 12700| PLACA ASUS H610| 16 GB DDR4 (2X8)| KINGSTON 500GB NV3 M.2| CASE HALIO + FUENTE DE PODER 500W| MONITOR SAMSUNG 27&quot; IPS 1080P "/>
    <x v="1"/>
    <s v="CAMBIO Y VENTA"/>
    <x v="3"/>
    <x v="6"/>
    <x v="19"/>
    <x v="1"/>
    <s v="COMPATIBLE"/>
    <s v="Prime A320M-K"/>
    <x v="2"/>
    <x v="18"/>
    <s v="SATA 240GB"/>
    <s v="WD 2.5 GREEN 240GB"/>
    <s v="24 SAMSUNG"/>
    <s v="S24R35AFHN Samsung 24&quot;"/>
    <s v="Teclado genius, mouse genius "/>
    <s v="Quedar modelo "/>
    <s v="Mantenimeinto pc, componentes obsoletos"/>
  </r>
  <r>
    <x v="0"/>
    <x v="3"/>
    <x v="3"/>
    <x v="24"/>
    <x v="20"/>
    <x v="24"/>
    <s v="Asistente contable"/>
    <s v="Activo"/>
    <x v="1"/>
    <s v="Pendiente"/>
    <s v="PC"/>
    <s v="I7 12700| PLACA ASUS H610| 16 GB DDR4 (2X8)| KINGSTON 500GB NV3 M.2| CASE HALIO + FUENTE DE PODER 500W| MONITOR SAMSUNG 27&quot; IPS 1080P "/>
    <x v="1"/>
    <s v="CAMBIO Y VENTA"/>
    <x v="2"/>
    <x v="5"/>
    <x v="20"/>
    <x v="1"/>
    <s v="COMPATIBLE"/>
    <s v="H810M-H Gigabyte "/>
    <x v="1"/>
    <x v="19"/>
    <s v="SATA 240GB"/>
    <s v="WD 2.5 GREEN 240GB"/>
    <s v="22 LGI"/>
    <s v="22MK400H-B LG 22&quot;&quot;"/>
    <s v="Teclado logitech, mouse genius "/>
    <s v="Forza FVR 902"/>
    <s v="Mantenimiento pc, ampliación de memoria ram insuficiente"/>
  </r>
  <r>
    <x v="0"/>
    <x v="1"/>
    <x v="3"/>
    <x v="25"/>
    <x v="22"/>
    <x v="25"/>
    <m/>
    <s v="Activo"/>
    <x v="1"/>
    <s v="Pendiente"/>
    <s v="PC"/>
    <s v="I7 12700| PLACA ASUS H610| 16 GB DDR4 (2X8)| KINGSTON 500GB NV3 M.2| CASE HALIO + FUENTE DE PODER 500W| MONITOR SAMSUNG 27&quot; IPS 1080P "/>
    <x v="1"/>
    <s v="CAMBIO Y VENTA"/>
    <x v="3"/>
    <x v="6"/>
    <x v="21"/>
    <x v="1"/>
    <s v="COMPATIBLE"/>
    <s v="Prime A320M-K"/>
    <x v="2"/>
    <x v="18"/>
    <s v="SATA 240GB"/>
    <s v="Kingston SA400S37240G 240GB"/>
    <s v="22 LGI"/>
    <s v="22M38H-B LG 22&quot;"/>
    <s v="Teclado genius, mouse logitech"/>
    <s v="Forza FVR 902"/>
    <s v="Lentitud ordenador urgente, cuelgue de la maquina constante, mantenimiento ordenador."/>
  </r>
  <r>
    <x v="0"/>
    <x v="1"/>
    <x v="3"/>
    <x v="26"/>
    <x v="23"/>
    <x v="26"/>
    <s v="Lider"/>
    <s v="Activo"/>
    <x v="3"/>
    <s v="Pendiente"/>
    <s v="PC"/>
    <s v="I7 12700| PLACA ASUS H610| 16 GB DDR4 (2X8)| KINGSTON 500GB NV3 M.2| CASE HALIO + FUENTE DE PODER 500W| MONITOR SAMSUNG 27&quot; IPS 1080P "/>
    <x v="3"/>
    <s v="VENTA O REPOTENCIAR"/>
    <x v="0"/>
    <x v="10"/>
    <x v="22"/>
    <x v="1"/>
    <s v="COMPATIBLE"/>
    <s v="H310M H 2m0"/>
    <x v="2"/>
    <x v="17"/>
    <s v="SATA 480GB"/>
    <s v="WDC WDS480G2G0A-00JH30 480GB"/>
    <s v="22 SAMSUNG"/>
    <s v="S22F35FHLXPE Samsung 22&quot;"/>
    <s v="Teclado genius, mouse logitech"/>
    <s v="Estabilizador "/>
    <s v="Lentitud ordenador, mantenimiento y upgrade memoria ram"/>
  </r>
  <r>
    <x v="0"/>
    <x v="2"/>
    <x v="4"/>
    <x v="27"/>
    <x v="24"/>
    <x v="27"/>
    <s v="Responsable"/>
    <s v="Activo"/>
    <x v="4"/>
    <s v="Pendiente"/>
    <s v="Laptop"/>
    <s v="i7-135620h | 16GB DDR5| SSD 512GB| 15.6FHD"/>
    <x v="4"/>
    <s v="BUENA"/>
    <x v="1"/>
    <x v="2"/>
    <x v="23"/>
    <x v="1"/>
    <s v="COMPATIBLE"/>
    <s v="B560M gigabyte "/>
    <x v="0"/>
    <x v="20"/>
    <s v="SATA 500GB"/>
    <s v="SSD 500 CT480BX500SSD1"/>
    <s v="24 SAMSUNG"/>
    <s v="FN24T350FHL, SAMSUNG, 24&quot;"/>
    <s v="Mouse genius y teclado genius"/>
    <s v="Forza FVR 902"/>
    <s v="Pantallazo Azul, tiene freeze el ordenador, memoria ram un modulo defectuosa, ya que es una compatible y no original"/>
  </r>
  <r>
    <x v="0"/>
    <x v="2"/>
    <x v="2"/>
    <x v="28"/>
    <x v="25"/>
    <x v="28"/>
    <s v="Lider"/>
    <s v="Activo"/>
    <x v="0"/>
    <s v="Pendiente"/>
    <s v="Laptop"/>
    <s v="i7-135620h | 16GB DDR5| SSD 512GB| 15.6FHD"/>
    <x v="0"/>
    <s v="BUENA"/>
    <x v="1"/>
    <x v="1"/>
    <x v="24"/>
    <x v="0"/>
    <s v="DELL"/>
    <s v="LAPTOP DELL INSPIRION15 3520"/>
    <x v="0"/>
    <x v="20"/>
    <s v="M.2 1024GB"/>
    <s v="NVME BG6 KIOXIA 1024GB "/>
    <s v="15.6&quot; DELL"/>
    <s v="15.6&quot;"/>
    <s v="CARGADOR DELL  (19.5V - 3.34A – 65.0W) "/>
    <s v="no"/>
    <s v="Visagra reparada, se requiere tener cuidado y hacerle mantenimiento con observaciones constantes "/>
  </r>
  <r>
    <x v="0"/>
    <x v="4"/>
    <x v="5"/>
    <x v="29"/>
    <x v="26"/>
    <x v="29"/>
    <s v="Responsable"/>
    <s v="Activo"/>
    <x v="1"/>
    <s v="Pendiente"/>
    <s v="PC"/>
    <s v="I7 12700| PLACA ASUS H610| 16 GB DDR4 (2X8)| KINGSTON 500GB NV3 M.2| CASE HALIO + FUENTE DE PODER 500W| MONITOR SAMSUNG 27&quot; IPS 1080P "/>
    <x v="1"/>
    <s v="CAMBIO Y VENTA"/>
    <x v="2"/>
    <x v="5"/>
    <x v="25"/>
    <x v="1"/>
    <s v="COMPATIBLE"/>
    <s v="H810M-H"/>
    <x v="2"/>
    <x v="21"/>
    <s v="SATA 240GB"/>
    <s v="Kingston SA400S37240G 240GB"/>
    <s v="19 LGI"/>
    <s v="19M38A-B LG 19&quot;"/>
    <s v="Teclado y mouse "/>
    <s v="Forza FVR 902 "/>
    <s v="Pc lenta, memoria ram insuficiente"/>
  </r>
  <r>
    <x v="0"/>
    <x v="4"/>
    <x v="6"/>
    <x v="30"/>
    <x v="27"/>
    <x v="30"/>
    <m/>
    <s v="Activo"/>
    <x v="1"/>
    <s v="Pendiente"/>
    <s v="PC"/>
    <s v="I7 12700| PLACA ASUS H610| 16 GB DDR4 (2X8)| KINGSTON 500GB NV3 M.2| CASE HALIO + FUENTE DE PODER 500W| MONITOR SAMSUNG 27&quot; IPS 1080P "/>
    <x v="1"/>
    <s v="CAMBIO Y VENTA"/>
    <x v="0"/>
    <x v="5"/>
    <x v="26"/>
    <x v="1"/>
    <s v="COMPATIBLE"/>
    <s v="H81M-S1"/>
    <x v="2"/>
    <x v="22"/>
    <s v="SATA 240GB"/>
    <s v="Kingston SA400S37240G 240GB"/>
    <s v="19 LGI"/>
    <s v="19M38A-B LG 19&quot;"/>
    <s v="Teclado genius, mouse Genius"/>
    <s v="Forza FVR 902"/>
    <s v="Lentitud por falta de memoria ram "/>
  </r>
  <r>
    <x v="0"/>
    <x v="4"/>
    <x v="6"/>
    <x v="31"/>
    <x v="28"/>
    <x v="31"/>
    <s v="Lider"/>
    <s v="Activo"/>
    <x v="3"/>
    <s v="Pendiente"/>
    <s v="Laptop"/>
    <s v="i7-135620h | 16GB DDR5| SSD 512GB| 15.6FHD"/>
    <x v="3"/>
    <s v="VENTA O REPOTENCIAR"/>
    <x v="0"/>
    <x v="2"/>
    <x v="27"/>
    <x v="1"/>
    <s v="COMPATIBLE"/>
    <s v="H510M-VHS Asrock"/>
    <x v="2"/>
    <x v="23"/>
    <s v="SATA 500GB"/>
    <s v="CT240XBX500SSD1 500GB"/>
    <s v="22 SAMSUNG"/>
    <s v="LF22T350FHLXPE SAMSUNG 22&quot;"/>
    <s v="Teclado logitech, mouse logitech"/>
    <s v="Forza FVR 902"/>
    <s v="Lentitud memoria ram corto, mantenimiento PC"/>
  </r>
  <r>
    <x v="0"/>
    <x v="4"/>
    <x v="6"/>
    <x v="32"/>
    <x v="29"/>
    <x v="32"/>
    <m/>
    <s v="Activo"/>
    <x v="2"/>
    <s v="Pendiente"/>
    <s v="Laptop"/>
    <s v="i7-135620h | 16GB DDR5| SSD 512GB| 15.6FHD"/>
    <x v="2"/>
    <s v="CAMBIO Y VENTA"/>
    <x v="2"/>
    <x v="0"/>
    <x v="28"/>
    <x v="0"/>
    <s v="LENOVO"/>
    <s v="Lenovo IPEAD S145IIL"/>
    <x v="2"/>
    <x v="13"/>
    <s v="SATA 240GB"/>
    <s v="SSD GIGABYTE GP-GSTFST31240GNTD"/>
    <s v="22 LGI"/>
    <s v="22MN430M-B LG 22&quot;"/>
    <s v="Teclado genius y mouse logitech"/>
    <s v="Corriente directa"/>
    <s v="Temperatura laptop mantenimiento"/>
  </r>
  <r>
    <x v="1"/>
    <x v="3"/>
    <x v="7"/>
    <x v="33"/>
    <x v="30"/>
    <x v="33"/>
    <m/>
    <s v="Activo"/>
    <x v="0"/>
    <s v="Pendiente"/>
    <s v="PC"/>
    <s v="I7 12700| PLACA ASUS H610| 16 GB DDR4 (2X8)| KINGSTON 500GB NV3 M.2| CASE HALIO + FUENTE DE PODER 500W| MONITOR SAMSUNG 27&quot; IPS 1080P "/>
    <x v="0"/>
    <s v="BUENA"/>
    <x v="0"/>
    <x v="2"/>
    <x v="29"/>
    <x v="1"/>
    <s v="COMPATIBLE"/>
    <s v="B560M GAMING HD"/>
    <x v="0"/>
    <x v="0"/>
    <s v="M.2 512GB"/>
    <s v="Dahua C900 M.2 2280 NVME 512GB SSD "/>
    <s v="24 SAMSUNG"/>
    <s v="S24R35AFHN Samsung 24&quot;"/>
    <s v="Teclado logitech, mouse logitech"/>
    <s v="Forza FVR 902 "/>
    <s v="Insuficiente memoria ram, temperatura alta en pc "/>
  </r>
  <r>
    <x v="1"/>
    <x v="0"/>
    <x v="8"/>
    <x v="34"/>
    <x v="31"/>
    <x v="34"/>
    <m/>
    <s v="Activo"/>
    <x v="0"/>
    <s v="Pendiente"/>
    <s v="PC"/>
    <s v="I7 12700| PLACA ASUS H610| 16 GB DDR4 (2X8)| KINGSTON 500GB NV3 M.2| CASE HALIO + FUENTE DE PODER 500W| MONITOR SAMSUNG 27&quot; IPS 1080P "/>
    <x v="0"/>
    <s v="BUENA"/>
    <x v="0"/>
    <x v="2"/>
    <x v="29"/>
    <x v="1"/>
    <s v="COMPATIBLE"/>
    <s v="B560M GAMING HD"/>
    <x v="0"/>
    <x v="24"/>
    <s v="M.2 512GB"/>
    <s v="Dahua C900 M.2 2280 NVME 512GB"/>
    <s v="24 SAMSUNG"/>
    <s v="S24R35AFHN Samsung 24&quot;"/>
    <s v="Teclado logitech, mouse logitech"/>
    <s v="Forza FVR 902"/>
    <s v="Temperatura pc alta"/>
  </r>
  <r>
    <x v="1"/>
    <x v="0"/>
    <x v="8"/>
    <x v="35"/>
    <x v="32"/>
    <x v="35"/>
    <m/>
    <s v="Activo"/>
    <x v="3"/>
    <s v="Pendiente"/>
    <s v="PC"/>
    <s v="I7 12700| PLACA ASUS H610| 16 GB DDR4 (2X8)| KINGSTON 500GB NV3 M.2| CASE HALIO + FUENTE DE PODER 500W| MONITOR SAMSUNG 27&quot; IPS 1080P "/>
    <x v="3"/>
    <s v="VENTA O REPOTENCIAR"/>
    <x v="0"/>
    <x v="1"/>
    <x v="30"/>
    <x v="0"/>
    <s v="DELL"/>
    <s v="DELL Inspiron 15 "/>
    <x v="2"/>
    <x v="25"/>
    <s v="M.2 512GB"/>
    <s v="NVME 2400A NVME Micron 512GB"/>
    <s v="15 LENOVO"/>
    <s v="Laptop lenovo DELL inspiron 15"/>
    <s v="Mouse genius, mousepad"/>
    <s v="Estabilizador FVR 902"/>
    <s v="Temperatura alta "/>
  </r>
  <r>
    <x v="1"/>
    <x v="3"/>
    <x v="7"/>
    <x v="36"/>
    <x v="30"/>
    <x v="36"/>
    <m/>
    <s v="Activo"/>
    <x v="2"/>
    <s v="Pendiente"/>
    <s v="PC"/>
    <s v="I7 12700| PLACA ASUS H610| 16 GB DDR4 (2X8)| KINGSTON 500GB NV3 M.2| CASE HALIO + FUENTE DE PODER 500W| MONITOR SAMSUNG 27&quot; IPS 1080P "/>
    <x v="2"/>
    <s v="CAMBIO Y VENTA"/>
    <x v="3"/>
    <x v="6"/>
    <x v="31"/>
    <x v="1"/>
    <s v="COMPATIBLE"/>
    <m/>
    <x v="2"/>
    <x v="26"/>
    <s v="SATA 240GB"/>
    <s v="Kingston SA400S37240G 240GB"/>
    <s v="24 SAMSUNG"/>
    <s v="S24R35AFHN Samsung 24&quot;"/>
    <s v="Teclado logitech, mouse logitech"/>
    <s v="Forza FVR 902"/>
    <s v="Cambio de pc, lentitud y temperatura alta"/>
  </r>
  <r>
    <x v="1"/>
    <x v="0"/>
    <x v="8"/>
    <x v="37"/>
    <x v="33"/>
    <x v="37"/>
    <m/>
    <s v="Activo"/>
    <x v="0"/>
    <s v="Pendiente"/>
    <s v="PC"/>
    <s v="I7 12700| PLACA ASUS H610| 16 GB DDR4 (2X8)| KINGSTON 500GB NV3 M.2| CASE HALIO + FUENTE DE PODER 500W| MONITOR SAMSUNG 27&quot; IPS 1080P "/>
    <x v="0"/>
    <s v="BUENA"/>
    <x v="0"/>
    <x v="2"/>
    <x v="29"/>
    <x v="1"/>
    <s v="COMPATIBLE"/>
    <s v="B560M Gaming HD"/>
    <x v="0"/>
    <x v="24"/>
    <s v="M.2 512GB"/>
    <s v="Dahua C900 M.2 2280 NVME 512GB "/>
    <s v="22 LGI"/>
    <s v="22MN430M-B LG 22&quot;"/>
    <s v="Teclado genius y mouse genius "/>
    <s v="De kriss mismo modelo"/>
    <s v="Temperatura alta y cambio de periféricos"/>
  </r>
  <r>
    <x v="1"/>
    <x v="0"/>
    <x v="9"/>
    <x v="38"/>
    <x v="34"/>
    <x v="38"/>
    <m/>
    <s v="Activo"/>
    <x v="0"/>
    <s v="Pendiente"/>
    <s v="Laptop"/>
    <s v="i7-135620h | 16GB DDR5| SSD 512GB| 15.6FHD"/>
    <x v="0"/>
    <s v="BUENA"/>
    <x v="1"/>
    <x v="4"/>
    <x v="32"/>
    <x v="0"/>
    <s v="LENOVO"/>
    <s v="Lenovo thinkpad 20J9S04A00"/>
    <x v="0"/>
    <x v="27"/>
    <s v="SATA 240GB"/>
    <s v="WD 2.5 240GB green"/>
    <s v="15.6 LENOVO"/>
    <s v="15.6 &quot;"/>
    <s v="Mouse genius y cargador de laptop"/>
    <s v="Forza AVR 902"/>
    <s v="Mantenimiento "/>
  </r>
  <r>
    <x v="1"/>
    <x v="5"/>
    <x v="10"/>
    <x v="39"/>
    <x v="35"/>
    <x v="39"/>
    <s v="Lider"/>
    <s v="Activo"/>
    <x v="0"/>
    <s v="Pendiente"/>
    <s v="Laptop"/>
    <s v="i7-135620h | 16GB DDR5| SSD 512GB| 15.6FHD"/>
    <x v="0"/>
    <s v="BUENA"/>
    <x v="1"/>
    <x v="1"/>
    <x v="24"/>
    <x v="0"/>
    <s v="DELL"/>
    <s v="DELL INSPIRON 15"/>
    <x v="0"/>
    <x v="28"/>
    <s v="M.2 1024GB"/>
    <s v="Nvme BG6KIOXIA 1024GB"/>
    <s v="15.6 DELL"/>
    <s v="15.6&quot;"/>
    <s v="Mouse logitech y mousepad"/>
    <s v="Estabilizador FVR 902"/>
    <s v="Ningun9"/>
  </r>
  <r>
    <x v="1"/>
    <x v="5"/>
    <x v="10"/>
    <x v="40"/>
    <x v="36"/>
    <x v="40"/>
    <m/>
    <s v="Activo"/>
    <x v="3"/>
    <s v="Pendiente"/>
    <s v="PC"/>
    <s v="I7 12700| PLACA ASUS H610| 16 GB DDR4 (2X8)| KINGSTON 500GB NV3 M.2| CASE HALIO + FUENTE DE PODER 500W| MONITOR SAMSUNG 27&quot; IPS 1080P "/>
    <x v="3"/>
    <s v="VENTA O REPOTENCIAR"/>
    <x v="0"/>
    <x v="2"/>
    <x v="27"/>
    <x v="1"/>
    <s v="COMPATIBLE"/>
    <s v="Asrock H510M-HVS"/>
    <x v="2"/>
    <x v="29"/>
    <s v="SATA 500GB"/>
    <s v="CT240VX500SSD1 500GB"/>
    <s v="22 SAMSUNG"/>
    <s v="LF22T350FHLXPE SAMSUNG 22&quot;"/>
    <s v="Mouse teclado logitech "/>
    <s v="Forza FVR 902"/>
    <s v="Mantenimiento pc "/>
  </r>
  <r>
    <x v="1"/>
    <x v="5"/>
    <x v="10"/>
    <x v="41"/>
    <x v="36"/>
    <x v="41"/>
    <s v="Responsable"/>
    <s v="Activo"/>
    <x v="0"/>
    <s v="Pendiente"/>
    <s v="PC"/>
    <s v="I7 12700| PLACA ASUS H610| 16 GB DDR4 (2X8)| KINGSTON 500GB NV3 M.2| CASE HALIO + FUENTE DE PODER 500W| MONITOR SAMSUNG 27&quot; IPS 1080P "/>
    <x v="0"/>
    <s v="BUENA"/>
    <x v="0"/>
    <x v="2"/>
    <x v="18"/>
    <x v="1"/>
    <s v="COMPATIBLE"/>
    <s v="B560M Gaming HD"/>
    <x v="0"/>
    <x v="30"/>
    <s v="SATA 240GB"/>
    <s v="Gigabyte GP-GSTFS31240GNTD"/>
    <s v="19 LGI"/>
    <s v="19M38A-B LG "/>
    <s v="Mouse Logitech y mouse logitech"/>
    <s v="Forza FVR 902"/>
    <s v="Mantenimiento PC "/>
  </r>
  <r>
    <x v="1"/>
    <x v="6"/>
    <x v="11"/>
    <x v="42"/>
    <x v="37"/>
    <x v="42"/>
    <m/>
    <s v="Activo"/>
    <x v="1"/>
    <s v="Pendiente"/>
    <s v="Laptop"/>
    <s v="i7-135620h | 16GB DDR5| SSD 512GB| 15.6FHD"/>
    <x v="1"/>
    <s v="CAMBIO Y VENTA"/>
    <x v="4"/>
    <x v="11"/>
    <x v="33"/>
    <x v="1"/>
    <s v="COMPATIBLE"/>
    <s v="Foxconn H61MXE"/>
    <x v="1"/>
    <x v="31"/>
    <s v="SATA 240GB"/>
    <s v="Kingston SA400S37240G 240GB"/>
    <s v="22 LGI"/>
    <s v="22MN430M-B LG 22&quot;"/>
    <s v="Mouse y teclado logitech"/>
    <s v="Forza FVR 902"/>
    <s v="Cambio de pc lento"/>
  </r>
  <r>
    <x v="2"/>
    <x v="2"/>
    <x v="2"/>
    <x v="43"/>
    <x v="38"/>
    <x v="43"/>
    <n v="3"/>
    <s v="4GB"/>
    <x v="5"/>
    <n v="1"/>
    <n v="1"/>
    <s v="RYZEN 7-7735HS | 16GB DDR5| SSD 512GB| 15.6FHD"/>
    <x v="5"/>
    <s v="CAMBIO Y VENTA"/>
    <x v="5"/>
    <x v="4"/>
    <x v="34"/>
    <x v="0"/>
    <s v="ASUS"/>
    <s v="ASUS EXPERTBOOK P1 P1503CVA-S71410 "/>
    <x v="0"/>
    <x v="32"/>
    <s v="M.2 512GB"/>
    <s v="NVME 512GB "/>
    <s v="15.6&quot; ASUS"/>
    <s v="15.6&quot; ASUS"/>
    <m/>
    <s v="FORZA FVR"/>
    <m/>
  </r>
  <r>
    <x v="3"/>
    <x v="7"/>
    <x v="12"/>
    <x v="44"/>
    <x v="39"/>
    <x v="44"/>
    <n v="7"/>
    <s v="8GB"/>
    <x v="5"/>
    <n v="1"/>
    <n v="1"/>
    <s v="i7-135620h | 16GB DDR5| SSD 512GB| 15.6FHD"/>
    <x v="5"/>
    <s v="BUENA"/>
    <x v="1"/>
    <x v="2"/>
    <x v="16"/>
    <x v="1"/>
    <s v="COMPATIBLE"/>
    <s v="B560M Gaming HD"/>
    <x v="0"/>
    <x v="33"/>
    <s v="M.2 500GB"/>
    <s v="Kingston SNV2S500G 500GB"/>
    <s v="22 SAMSUNG"/>
    <s v="S22F355FHL SAMSUNG "/>
    <s v="Teclado logitech y mouse thunderbolt"/>
    <s v="Forza FVR 902"/>
    <s v="Mantenimiento PC"/>
  </r>
  <r>
    <x v="3"/>
    <x v="7"/>
    <x v="12"/>
    <x v="44"/>
    <x v="40"/>
    <x v="43"/>
    <n v="3"/>
    <s v="4GB"/>
    <x v="5"/>
    <n v="1"/>
    <n v="1"/>
    <s v="i7-135620h | 16GB DDR5| SSD 512GB| 15.6FHD"/>
    <x v="5"/>
    <s v="BUENA"/>
    <x v="1"/>
    <x v="2"/>
    <x v="16"/>
    <x v="1"/>
    <s v="COMPATIBLE"/>
    <s v="B560M Gaming HD"/>
    <x v="0"/>
    <x v="24"/>
    <s v="M.2 500GB"/>
    <s v="PNY CS1031 500GB"/>
    <s v="24 SAMSUNG"/>
    <s v="S24R35AFHN Samsung 24&quot;"/>
    <s v="Teclado logitech, Mouse logitech mousepad"/>
    <s v="Forza FVR 902"/>
    <s v="Ninguno"/>
  </r>
  <r>
    <x v="3"/>
    <x v="7"/>
    <x v="12"/>
    <x v="44"/>
    <x v="41"/>
    <x v="44"/>
    <n v="7"/>
    <s v="8GB"/>
    <x v="5"/>
    <n v="1"/>
    <n v="1"/>
    <s v="I7 12700| PLACA ASUS H610| 16 GB DDR4 (2X8)| KINGSTON 500GB NV3 M.2| CASE HALIO + FUENTE DE PODER 500W| MONITOR SAMSUNG 27&quot; IPS 1080P "/>
    <x v="5"/>
    <s v="VENTA O REPOTENCIAR"/>
    <x v="0"/>
    <x v="2"/>
    <x v="27"/>
    <x v="1"/>
    <s v="COMPATIBLE"/>
    <s v="Asrock H510M-HVS"/>
    <x v="2"/>
    <x v="25"/>
    <s v="SATA 240GB"/>
    <s v="WD 2.5 240GB green"/>
    <m/>
    <m/>
    <s v="Teclado genius, Mouse genius"/>
    <s v="Cdp RU-AVR604I"/>
    <s v="Mantenimiento pc"/>
  </r>
  <r>
    <x v="3"/>
    <x v="7"/>
    <x v="12"/>
    <x v="44"/>
    <x v="42"/>
    <x v="43"/>
    <n v="3"/>
    <s v="6GB"/>
    <x v="5"/>
    <n v="1"/>
    <n v="1"/>
    <s v="i7-135620h | 16GB DDR5| SSD 512GB| 15.6FHD"/>
    <x v="5"/>
    <s v="VENTA O REPOTENCIAR"/>
    <x v="0"/>
    <x v="0"/>
    <x v="35"/>
    <x v="1"/>
    <s v="COMPATIBLE"/>
    <s v="H410M S2H V2"/>
    <x v="2"/>
    <x v="17"/>
    <s v="SATA 240GB"/>
    <s v="WD 2.5 GREEN 240GB"/>
    <s v="22 LGI"/>
    <s v="22MK430M-B LG 22&quot;"/>
    <s v="Teclado micronics, Mouse genius"/>
    <s v="Forza FVR 902"/>
    <s v="Mantenimiento pc y cambio de periféricos "/>
  </r>
  <r>
    <x v="3"/>
    <x v="7"/>
    <x v="12"/>
    <x v="44"/>
    <x v="43"/>
    <x v="45"/>
    <n v="4"/>
    <s v="8GB"/>
    <x v="5"/>
    <n v="1"/>
    <n v="1"/>
    <s v="i7-135620h | 16GB DDR5| SSD 512GB| 15.6FHD"/>
    <x v="5"/>
    <s v="BUENA"/>
    <x v="1"/>
    <x v="2"/>
    <x v="16"/>
    <x v="1"/>
    <s v="COMPATIBLE"/>
    <s v="B560M Gigabyte"/>
    <x v="0"/>
    <x v="0"/>
    <s v="M.2 512GB"/>
    <s v="SSD NVME m.2 512GB"/>
    <s v="24 LGI"/>
    <s v="24MK430H-B, LG, 24&quot;"/>
    <s v="Teclado Logitech, mouse logitech"/>
    <s v="Forza FVR 902"/>
    <m/>
  </r>
  <r>
    <x v="3"/>
    <x v="3"/>
    <x v="3"/>
    <x v="43"/>
    <x v="44"/>
    <x v="44"/>
    <n v="4"/>
    <s v="4GB"/>
    <x v="5"/>
    <n v="1"/>
    <n v="1"/>
    <s v="i7-135620h | 16GB DDR5| SSD 512GB| 15.6FHD"/>
    <x v="5"/>
    <s v="BUENA"/>
    <x v="1"/>
    <x v="12"/>
    <x v="36"/>
    <x v="0"/>
    <s v="DELL"/>
    <s v="DELL INSPIRON 16 2-IN-1"/>
    <x v="0"/>
    <x v="34"/>
    <s v="M.2 1024GB"/>
    <s v="NVME BG6 SN740 1024GB "/>
    <s v="15.6 DELL"/>
    <s v="15.6 DELL"/>
    <m/>
    <m/>
    <m/>
  </r>
  <r>
    <x v="3"/>
    <x v="1"/>
    <x v="1"/>
    <x v="43"/>
    <x v="45"/>
    <x v="44"/>
    <n v="4"/>
    <s v="8GB"/>
    <x v="5"/>
    <n v="1"/>
    <n v="1"/>
    <s v="I7 12700| PLACA ASUS H610| 16 GB DDR4 (2X8)| KINGSTON 500GB NV3 M.2| CASE HALIO + FUENTE DE PODER 500W| MONITOR SAMSUNG 27&quot; IPS 1080P "/>
    <x v="5"/>
    <s v="CAMBIO Y VENTA"/>
    <x v="0"/>
    <x v="7"/>
    <x v="37"/>
    <x v="0"/>
    <s v="LENOVO"/>
    <s v="Lenovo ideapad S340-15IWL"/>
    <x v="2"/>
    <x v="35"/>
    <s v="SATA 240GB"/>
    <s v="SSD Kingston SA400S37240G 240GB"/>
    <s v="15.6 LENOVO"/>
    <s v="15.6&quot; lenovo"/>
    <s v="Mouse genius"/>
    <s v="Gambyte"/>
    <s v="Mantenimiento - cambio de teclado"/>
  </r>
  <r>
    <x v="3"/>
    <x v="7"/>
    <x v="12"/>
    <x v="44"/>
    <x v="46"/>
    <x v="44"/>
    <n v="2"/>
    <s v="4GB"/>
    <x v="5"/>
    <n v="1"/>
    <n v="1"/>
    <s v="i7-135620h | 16GB DDR5| SSD 512GB| 15.6FHD"/>
    <x v="5"/>
    <s v="VENTA O REPOTENCIAR"/>
    <x v="0"/>
    <x v="2"/>
    <x v="29"/>
    <x v="1"/>
    <s v="COMPATIBLE"/>
    <s v="B560M DS3H V2"/>
    <x v="2"/>
    <x v="36"/>
    <s v="M.2 250GB"/>
    <s v="Kingston SNV250G"/>
    <s v="22 LGI"/>
    <s v="22MK400H-B LG 22&quot;"/>
    <s v="Teclado logitech K120, Mouse Logitech"/>
    <s v="Estabilizador FVR 902"/>
    <s v="Mantenimiento pc lentitud"/>
  </r>
  <r>
    <x v="3"/>
    <x v="7"/>
    <x v="3"/>
    <x v="43"/>
    <x v="47"/>
    <x v="46"/>
    <n v="5"/>
    <s v="8GB"/>
    <x v="5"/>
    <n v="1"/>
    <n v="1"/>
    <s v="i7-135620h | 16GB DDR5| SSD 512GB| 15.6FHD"/>
    <x v="5"/>
    <s v="BUENA"/>
    <x v="0"/>
    <x v="2"/>
    <x v="27"/>
    <x v="1"/>
    <s v="COMPATIBLE"/>
    <s v="H510M H GIGABYTE"/>
    <x v="0"/>
    <x v="28"/>
    <s v="M.2 500GB"/>
    <s v="Kingston SNV 500GB"/>
    <s v="22 SAMSUNG"/>
    <s v="F22T350FHL, Samsung, 22&quot;"/>
    <s v="Teclado y Mouse"/>
    <s v="Canto Bello 177"/>
    <s v="Si"/>
  </r>
  <r>
    <x v="3"/>
    <x v="7"/>
    <x v="12"/>
    <x v="44"/>
    <x v="48"/>
    <x v="46"/>
    <n v="5"/>
    <s v="8GB"/>
    <x v="5"/>
    <n v="1"/>
    <n v="1"/>
    <s v="I7 12700| PLACA ASUS H610| 16 GB DDR4 (2X8)| KINGSTON 500GB NV3 M.2| CASE HALIO + FUENTE DE PODER 500W| MONITOR SAMSUNG 27&quot; IPS 1080P "/>
    <x v="5"/>
    <s v="VENTA O REPOTENCIAR"/>
    <x v="0"/>
    <x v="1"/>
    <x v="30"/>
    <x v="0"/>
    <s v="DELL"/>
    <s v="Laptop Inspiron 15"/>
    <x v="2"/>
    <x v="37"/>
    <s v="M.2 512GB"/>
    <s v="SSD 512 Nvme micron"/>
    <s v="15.6 DELL"/>
    <s v="Dell inspiron 15"/>
    <s v="Mouse"/>
    <s v="FORZA FVR902"/>
    <s v="No"/>
  </r>
  <r>
    <x v="3"/>
    <x v="4"/>
    <x v="6"/>
    <x v="43"/>
    <x v="49"/>
    <x v="43"/>
    <n v="4"/>
    <s v="8GB"/>
    <x v="5"/>
    <n v="1"/>
    <n v="1"/>
    <s v="i7-135620h | 16GB DDR5| SSD 512GB| 15.6FHD"/>
    <x v="5"/>
    <s v="CAMBIO Y VENTA"/>
    <x v="2"/>
    <x v="4"/>
    <x v="4"/>
    <x v="1"/>
    <s v="COMPATIBLE"/>
    <s v="H110M-H Gigabyte"/>
    <x v="2"/>
    <x v="3"/>
    <s v="SATA 240GB"/>
    <s v="WD 2.5 240GB"/>
    <s v="22 SAMSUNG"/>
    <s v="Samsung S22FJ350FHL"/>
    <s v="Teclado logitech, mouse logitech"/>
    <s v="Estabilizador FVR 1202USB"/>
    <s v="PC con polvo futuro mantenimiento "/>
  </r>
  <r>
    <x v="3"/>
    <x v="7"/>
    <x v="5"/>
    <x v="43"/>
    <x v="50"/>
    <x v="44"/>
    <n v="4"/>
    <s v="8GB"/>
    <x v="5"/>
    <n v="1"/>
    <n v="1"/>
    <s v="i7-135620h | 16GB DDR5| SSD 512GB| 15.6FHD"/>
    <x v="5"/>
    <s v="CAMBIO Y VENTA"/>
    <x v="0"/>
    <x v="8"/>
    <x v="12"/>
    <x v="1"/>
    <s v="COMPATIBLE"/>
    <s v="Gigabyte H61M-DS2 "/>
    <x v="4"/>
    <x v="38"/>
    <s v="SATA 240GB"/>
    <s v="Kingston SA400S37240G 240GB"/>
    <s v="22 LGI"/>
    <s v="22MN430M-B LG 22&quot;"/>
    <s v="Teclado teros y mouse genius"/>
    <s v="Forza FVR 902"/>
    <s v="Cambio de pc lento "/>
  </r>
  <r>
    <x v="3"/>
    <x v="6"/>
    <x v="11"/>
    <x v="43"/>
    <x v="51"/>
    <x v="47"/>
    <s v="(en blanco)"/>
    <s v="4GB"/>
    <x v="6"/>
    <m/>
    <n v="1"/>
    <s v="I7 12700| PLACA ASUS H610| 16 GB DDR4 (2X8)| KINGSTON 500GB NV3 M.2| CASE HALIO + FUENTE DE PODER 500W| MONITOR SAMSUNG 27&quot; IPS 1080P "/>
    <x v="5"/>
    <s v="CAMBIO Y VENTA"/>
    <x v="1"/>
    <x v="5"/>
    <x v="14"/>
    <x v="1"/>
    <s v="COMPATIBLE"/>
    <s v="H810M-H Gigabyte "/>
    <x v="2"/>
    <x v="12"/>
    <s v="SATA 240GB"/>
    <s v="Gigabyte GP-GSTF31240GNTD"/>
    <s v="19 LGI"/>
    <s v="19M37A-B LG "/>
    <s v="Teclado genius, mouse Genius"/>
    <s v="Corriente directa"/>
    <s v="Mantenimeinto de pc, cambio de teclado y mouse desgaste"/>
  </r>
  <r>
    <x v="4"/>
    <x v="7"/>
    <x v="12"/>
    <x v="44"/>
    <x v="52"/>
    <x v="48"/>
    <m/>
    <m/>
    <x v="6"/>
    <n v="13"/>
    <n v="14"/>
    <s v="i7-135620h | 16GB DDR5| SSD 512GB| 15.6FHD"/>
    <x v="5"/>
    <s v="COMPRA"/>
    <x v="1"/>
    <x v="12"/>
    <x v="36"/>
    <x v="0"/>
    <s v="ASUS"/>
    <s v="ASUS EXPERTBOOK P1 P1503CVA-S71410 "/>
    <x v="0"/>
    <x v="32"/>
    <s v="M.2 512GB"/>
    <s v="NVME 512GB "/>
    <s v="15.6&quot; ASUS"/>
    <s v="15.6&quot; ASUS"/>
    <m/>
    <m/>
    <m/>
  </r>
  <r>
    <x v="0"/>
    <x v="3"/>
    <x v="13"/>
    <x v="44"/>
    <x v="52"/>
    <x v="48"/>
    <s v="Gerente de finanzas"/>
    <s v="Pendiente"/>
    <x v="7"/>
    <s v="Pendiente"/>
    <s v="Laptop"/>
    <s v="i7-135620h | 16GB DDR5| SSD 512GB| 15.6FHD"/>
    <x v="5"/>
    <s v="COMPRA"/>
    <x v="1"/>
    <x v="12"/>
    <x v="36"/>
    <x v="0"/>
    <s v="ASUS"/>
    <s v="ASUS EXPERTBOOK P1 P1503CVA-S71410 "/>
    <x v="0"/>
    <x v="32"/>
    <s v="M.2 512GB"/>
    <s v="NVME 512GB "/>
    <s v="15.6&quot; ASUS"/>
    <s v="15.6&quot; ASUS"/>
    <m/>
    <m/>
    <m/>
  </r>
  <r>
    <x v="0"/>
    <x v="8"/>
    <x v="14"/>
    <x v="44"/>
    <x v="52"/>
    <x v="48"/>
    <s v="Jefe de proyectos"/>
    <s v="Pendiente"/>
    <x v="7"/>
    <s v="Pendiente"/>
    <s v="PC"/>
    <s v="I7 12700| PLACA ASUS H610| 16 GB DDR4 (2X8)| KINGSTON 500GB NV3 M.2| CASE HALIO + FUENTE DE PODER 500W| MONITOR SAMSUNG 27&quot; IPS 1080P "/>
    <x v="5"/>
    <s v="COMPRA"/>
    <x v="1"/>
    <x v="11"/>
    <x v="38"/>
    <x v="3"/>
    <m/>
    <m/>
    <x v="5"/>
    <x v="39"/>
    <m/>
    <m/>
    <m/>
    <m/>
    <m/>
    <m/>
    <m/>
  </r>
  <r>
    <x v="5"/>
    <x v="6"/>
    <x v="11"/>
    <x v="44"/>
    <x v="52"/>
    <x v="48"/>
    <s v="Asistente de desarrollo de productos"/>
    <s v="Pendiente"/>
    <x v="7"/>
    <s v="Pendiente"/>
    <s v="PC"/>
    <s v="I7 12700| PLACA ASUS H610| 16 GB DDR4 (2X8)| KINGSTON 500GB NV3 M.2| CASE HALIO + FUENTE DE PODER 500W| MONITOR SAMSUNG 27&quot; IPS 1080P "/>
    <x v="5"/>
    <s v="COMPRA"/>
    <x v="1"/>
    <x v="11"/>
    <x v="38"/>
    <x v="3"/>
    <m/>
    <m/>
    <x v="5"/>
    <x v="39"/>
    <m/>
    <m/>
    <m/>
    <m/>
    <m/>
    <m/>
    <m/>
  </r>
  <r>
    <x v="5"/>
    <x v="6"/>
    <x v="11"/>
    <x v="44"/>
    <x v="52"/>
    <x v="48"/>
    <s v="Asistente de desarrollo de productos"/>
    <s v="Pendiente"/>
    <x v="7"/>
    <s v="Pendiente"/>
    <s v="PC"/>
    <s v="I7 12700| PLACA ASUS H610| 16 GB DDR4 (2X8)| KINGSTON 500GB NV3 M.2| CASE HALIO + FUENTE DE PODER 500W| MONITOR SAMSUNG 27&quot; IPS 1080P "/>
    <x v="5"/>
    <s v="COMPRA"/>
    <x v="1"/>
    <x v="11"/>
    <x v="38"/>
    <x v="3"/>
    <m/>
    <m/>
    <x v="5"/>
    <x v="39"/>
    <m/>
    <m/>
    <m/>
    <m/>
    <m/>
    <m/>
    <m/>
  </r>
  <r>
    <x v="5"/>
    <x v="6"/>
    <x v="11"/>
    <x v="44"/>
    <x v="52"/>
    <x v="48"/>
    <s v="Asistente de desarrollo de productos"/>
    <s v="Pendiente"/>
    <x v="7"/>
    <s v="Pendiente"/>
    <s v="PC"/>
    <s v="I7 12700| PLACA ASUS H610| 16 GB DDR4 (2X8)| KINGSTON 500GB NV3 M.2| CASE HALIO + FUENTE DE PODER 500W| MONITOR SAMSUNG 27&quot; IPS 1080P "/>
    <x v="5"/>
    <s v="COMPRA"/>
    <x v="1"/>
    <x v="11"/>
    <x v="38"/>
    <x v="3"/>
    <m/>
    <m/>
    <x v="5"/>
    <x v="39"/>
    <m/>
    <m/>
    <m/>
    <m/>
    <m/>
    <m/>
    <m/>
  </r>
  <r>
    <x v="5"/>
    <x v="6"/>
    <x v="11"/>
    <x v="44"/>
    <x v="52"/>
    <x v="48"/>
    <s v="Coordinador de desarrollo de productos"/>
    <s v="Pendiente"/>
    <x v="7"/>
    <s v="Pendiente"/>
    <s v="PC"/>
    <s v="I7 12700| PLACA ASUS H610| 16 GB DDR4 (2X8)| KINGSTON 500GB NV3 M.2| CASE HALIO + FUENTE DE PODER 500W| MONITOR SAMSUNG 27&quot; IPS 1080P "/>
    <x v="5"/>
    <s v="COMPRA"/>
    <x v="1"/>
    <x v="11"/>
    <x v="38"/>
    <x v="3"/>
    <m/>
    <m/>
    <x v="5"/>
    <x v="39"/>
    <m/>
    <m/>
    <m/>
    <m/>
    <m/>
    <m/>
    <m/>
  </r>
  <r>
    <x v="5"/>
    <x v="6"/>
    <x v="11"/>
    <x v="44"/>
    <x v="52"/>
    <x v="48"/>
    <s v="Coordinador de desarrollo de productos"/>
    <s v="Pendiente"/>
    <x v="7"/>
    <s v="Pendiente"/>
    <s v="PC"/>
    <s v="I7 12700| PLACA ASUS H610| 16 GB DDR4 (2X8)| KINGSTON 500GB NV3 M.2| CASE HALIO + FUENTE DE PODER 500W| MONITOR SAMSUNG 27&quot; IPS 1080P "/>
    <x v="5"/>
    <s v="COMPRA"/>
    <x v="1"/>
    <x v="11"/>
    <x v="38"/>
    <x v="3"/>
    <m/>
    <m/>
    <x v="5"/>
    <x v="39"/>
    <m/>
    <m/>
    <m/>
    <m/>
    <m/>
    <m/>
    <m/>
  </r>
  <r>
    <x v="1"/>
    <x v="0"/>
    <x v="15"/>
    <x v="44"/>
    <x v="52"/>
    <x v="48"/>
    <s v="Jefe de operaciones"/>
    <s v="Pendiente"/>
    <x v="7"/>
    <s v="Pendiente"/>
    <s v="Laptop"/>
    <s v="i7-135620h | 16GB DDR5| SSD 512GB| 15.6FHD"/>
    <x v="5"/>
    <s v="COMPRA"/>
    <x v="1"/>
    <x v="12"/>
    <x v="36"/>
    <x v="0"/>
    <s v="ASUS"/>
    <s v="ASUS EXPERTBOOK P1 P1503CVA-S71410 "/>
    <x v="0"/>
    <x v="32"/>
    <s v="M.2 512GB"/>
    <s v="NVME 512GB "/>
    <s v="15.6&quot; ASUS"/>
    <s v="15.6&quot; ASUS"/>
    <m/>
    <m/>
    <m/>
  </r>
  <r>
    <x v="1"/>
    <x v="0"/>
    <x v="16"/>
    <x v="44"/>
    <x v="52"/>
    <x v="48"/>
    <s v="Asistente de Distribución"/>
    <s v="Pendiente"/>
    <x v="7"/>
    <s v="Pendiente"/>
    <s v="PC"/>
    <s v="I7 12700| PLACA ASUS H610| 16 GB DDR4 (2X8)| KINGSTON 500GB NV3 M.2| CASE HALIO + FUENTE DE PODER 500W| MONITOR SAMSUNG 27&quot; IPS 1080P "/>
    <x v="5"/>
    <s v="COMPRA"/>
    <x v="1"/>
    <x v="11"/>
    <x v="38"/>
    <x v="3"/>
    <m/>
    <m/>
    <x v="5"/>
    <x v="39"/>
    <m/>
    <m/>
    <m/>
    <m/>
    <m/>
    <m/>
    <m/>
  </r>
  <r>
    <x v="1"/>
    <x v="1"/>
    <x v="3"/>
    <x v="44"/>
    <x v="53"/>
    <x v="49"/>
    <s v="Asesor Contable"/>
    <s v="Pendiente"/>
    <x v="7"/>
    <s v="Pendiente"/>
    <s v="Laptop"/>
    <s v="i7-135620h | 16GB DDR5| SSD 512GB| 15.6FHD"/>
    <x v="5"/>
    <s v="COMPRA"/>
    <x v="1"/>
    <x v="12"/>
    <x v="36"/>
    <x v="0"/>
    <s v="ASUS"/>
    <s v="ASUS EXPERTBOOK P1 P1503CVA-S71410 "/>
    <x v="0"/>
    <x v="32"/>
    <s v="M.2 512GB"/>
    <s v="NVME 512GB "/>
    <s v="15.6&quot; ASUS"/>
    <s v="15.6&quot; ASUS"/>
    <m/>
    <m/>
    <m/>
  </r>
  <r>
    <x v="0"/>
    <x v="3"/>
    <x v="3"/>
    <x v="32"/>
    <x v="20"/>
    <x v="50"/>
    <s v="Auxiliar Contable"/>
    <s v="Activo"/>
    <x v="1"/>
    <m/>
    <s v="Laptop"/>
    <m/>
    <x v="6"/>
    <m/>
    <x v="6"/>
    <x v="4"/>
    <x v="39"/>
    <x v="0"/>
    <s v="LENOVO"/>
    <s v="Laptop lenovo thinkpad E570"/>
    <x v="0"/>
    <x v="24"/>
    <s v="240gb Kingston SSD"/>
    <s v="240gb Kingston SSD"/>
    <s v="15.6 y 19&quot;"/>
    <s v="15.6 y 19&quot;"/>
    <s v="Teclado, apartado de red, Mouse y vga"/>
    <m/>
    <m/>
  </r>
  <r>
    <x v="3"/>
    <x v="7"/>
    <x v="12"/>
    <x v="44"/>
    <x v="52"/>
    <x v="48"/>
    <m/>
    <m/>
    <x v="5"/>
    <m/>
    <m/>
    <m/>
    <x v="5"/>
    <m/>
    <x v="6"/>
    <x v="11"/>
    <x v="38"/>
    <x v="3"/>
    <m/>
    <m/>
    <x v="5"/>
    <x v="39"/>
    <m/>
    <m/>
    <m/>
    <m/>
    <m/>
    <m/>
    <m/>
  </r>
  <r>
    <x v="0"/>
    <x v="1"/>
    <x v="3"/>
    <x v="45"/>
    <x v="54"/>
    <x v="51"/>
    <s v="Responsable"/>
    <s v="Activo"/>
    <x v="7"/>
    <s v="Pendiente"/>
    <s v="Laptop"/>
    <s v="RYZEN 7-7735HS | 16GB DDR5| SSD 512GB| 15.6FHD"/>
    <x v="5"/>
    <s v="COMPRA"/>
    <x v="5"/>
    <x v="4"/>
    <x v="34"/>
    <x v="0"/>
    <s v="ASUS"/>
    <s v="ASUS EXPERTBOOK P1 P1503CVA-S71410 "/>
    <x v="0"/>
    <x v="32"/>
    <s v="M.2 512GB"/>
    <s v="NVME 512GB "/>
    <s v="15.6&quot; ASUS"/>
    <s v="15.6&quot; ASUS"/>
    <m/>
    <s v="FORZA FVR"/>
    <m/>
  </r>
  <r>
    <x v="0"/>
    <x v="1"/>
    <x v="1"/>
    <x v="46"/>
    <x v="55"/>
    <x v="52"/>
    <s v="Responsable"/>
    <s v="Activo"/>
    <x v="7"/>
    <s v="Pendiente"/>
    <s v="Laptop"/>
    <s v="RYZEN 7-7735HS | 16GB DDR5| SSD 512GB| 15.6FHD"/>
    <x v="5"/>
    <s v="COMPRA"/>
    <x v="5"/>
    <x v="4"/>
    <x v="34"/>
    <x v="0"/>
    <s v="ASUS"/>
    <s v="ASUS EXPERTBOOK P1 P1503CVA-S71410 "/>
    <x v="0"/>
    <x v="32"/>
    <s v="M.2 512GB"/>
    <s v="NVME 512GB "/>
    <s v="15.6&quot; ASUS"/>
    <s v="15.6&quot; ASUS"/>
    <m/>
    <s v="FORZA FVR"/>
    <m/>
  </r>
  <r>
    <x v="0"/>
    <x v="0"/>
    <x v="8"/>
    <x v="47"/>
    <x v="56"/>
    <x v="53"/>
    <s v="Lider"/>
    <s v="Activo"/>
    <x v="7"/>
    <s v="Pendiente"/>
    <s v="Laptop"/>
    <s v="RYZEN 7-7735HS | 16GB DDR5| SSD 512GB| 15.6FHD"/>
    <x v="5"/>
    <s v="COMPRA"/>
    <x v="5"/>
    <x v="4"/>
    <x v="34"/>
    <x v="0"/>
    <s v="ASUS"/>
    <s v="ASUS EXPERTBOOK P1 P1503CVA-S71410 "/>
    <x v="0"/>
    <x v="32"/>
    <s v="M.2 512GB"/>
    <s v="NVME 512GB "/>
    <s v="15.6&quot; ASUS"/>
    <s v="15.6&quot; ASUS"/>
    <m/>
    <s v="FORZA FVR"/>
    <m/>
  </r>
  <r>
    <x v="1"/>
    <x v="7"/>
    <x v="12"/>
    <x v="44"/>
    <x v="52"/>
    <x v="48"/>
    <s v="Asistente de Almacen"/>
    <s v="Pendiente"/>
    <x v="7"/>
    <s v="Pendiente"/>
    <s v="PC"/>
    <s v="I7 12700| PLACA ASUS H610| 16 GB DDR4 (2X8)| KINGSTON 500GB NV3 M.2| CASE HALIO + FUENTE DE PODER 500W| MONITOR SAMSUNG 27&quot; IPS 1080P "/>
    <x v="5"/>
    <s v="COMPRA"/>
    <x v="1"/>
    <x v="11"/>
    <x v="38"/>
    <x v="3"/>
    <m/>
    <m/>
    <x v="5"/>
    <x v="39"/>
    <m/>
    <m/>
    <m/>
    <m/>
    <m/>
    <m/>
    <m/>
  </r>
  <r>
    <x v="0"/>
    <x v="1"/>
    <x v="1"/>
    <x v="44"/>
    <x v="52"/>
    <x v="48"/>
    <m/>
    <m/>
    <x v="5"/>
    <m/>
    <m/>
    <m/>
    <x v="5"/>
    <m/>
    <x v="6"/>
    <x v="11"/>
    <x v="38"/>
    <x v="3"/>
    <m/>
    <m/>
    <x v="5"/>
    <x v="39"/>
    <m/>
    <m/>
    <m/>
    <m/>
    <m/>
    <m/>
    <m/>
  </r>
  <r>
    <x v="3"/>
    <x v="7"/>
    <x v="12"/>
    <x v="44"/>
    <x v="52"/>
    <x v="48"/>
    <m/>
    <m/>
    <x v="5"/>
    <m/>
    <m/>
    <m/>
    <x v="5"/>
    <m/>
    <x v="6"/>
    <x v="11"/>
    <x v="38"/>
    <x v="3"/>
    <m/>
    <m/>
    <x v="5"/>
    <x v="39"/>
    <m/>
    <m/>
    <m/>
    <m/>
    <m/>
    <m/>
    <m/>
  </r>
  <r>
    <x v="3"/>
    <x v="7"/>
    <x v="12"/>
    <x v="44"/>
    <x v="52"/>
    <x v="48"/>
    <m/>
    <m/>
    <x v="5"/>
    <m/>
    <m/>
    <m/>
    <x v="6"/>
    <m/>
    <x v="6"/>
    <x v="11"/>
    <x v="38"/>
    <x v="3"/>
    <m/>
    <m/>
    <x v="5"/>
    <x v="3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B06C4-F4E3-4838-9D9A-241B6016DFAA}" name="TablaDinámica1" cacheId="1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J76" firstHeaderRow="1" firstDataRow="1" firstDataCol="10"/>
  <pivotFields count="29">
    <pivotField axis="axisRow" compact="0" outline="0" showAll="0" defaultSubtotal="0">
      <items count="6">
        <item x="1"/>
        <item x="0"/>
        <item x="5"/>
        <item x="3"/>
        <item x="2"/>
        <item x="4"/>
      </items>
    </pivotField>
    <pivotField axis="axisRow" compact="0" outline="0" showAll="0" sortType="ascending" defaultSubtotal="0">
      <items count="19">
        <item m="1" x="9"/>
        <item x="5"/>
        <item m="1" x="11"/>
        <item x="2"/>
        <item x="3"/>
        <item m="1" x="17"/>
        <item m="1" x="16"/>
        <item m="1" x="18"/>
        <item m="1" x="15"/>
        <item x="1"/>
        <item x="4"/>
        <item m="1" x="10"/>
        <item x="0"/>
        <item m="1" x="13"/>
        <item x="6"/>
        <item m="1" x="14"/>
        <item x="8"/>
        <item m="1" x="12"/>
        <item x="7"/>
      </items>
    </pivotField>
    <pivotField axis="axisRow" compact="0" outline="0" subtotalTop="0" showAll="0" defaultSubtotal="0">
      <items count="18">
        <item x="8"/>
        <item x="10"/>
        <item x="1"/>
        <item x="3"/>
        <item x="11"/>
        <item x="9"/>
        <item x="16"/>
        <item x="7"/>
        <item x="13"/>
        <item x="0"/>
        <item x="4"/>
        <item m="1" x="17"/>
        <item x="6"/>
        <item x="14"/>
        <item x="5"/>
        <item x="2"/>
        <item x="15"/>
        <item x="12"/>
      </items>
    </pivotField>
    <pivotField axis="axisRow" compact="0" outline="0" showAll="0" defaultSubtotal="0">
      <items count="60">
        <item x="35"/>
        <item x="0"/>
        <item x="28"/>
        <item m="1" x="58"/>
        <item x="39"/>
        <item x="1"/>
        <item x="32"/>
        <item m="1" x="54"/>
        <item x="38"/>
        <item x="10"/>
        <item m="1" x="55"/>
        <item x="16"/>
        <item m="1" x="51"/>
        <item m="1" x="49"/>
        <item x="9"/>
        <item x="8"/>
        <item x="6"/>
        <item x="3"/>
        <item x="7"/>
        <item m="1" x="56"/>
        <item x="24"/>
        <item x="5"/>
        <item x="23"/>
        <item x="25"/>
        <item x="37"/>
        <item m="1" x="50"/>
        <item x="40"/>
        <item x="42"/>
        <item x="13"/>
        <item x="11"/>
        <item x="33"/>
        <item x="34"/>
        <item m="1" x="59"/>
        <item x="41"/>
        <item x="2"/>
        <item x="26"/>
        <item x="31"/>
        <item x="12"/>
        <item x="22"/>
        <item x="36"/>
        <item x="27"/>
        <item m="1" x="57"/>
        <item x="17"/>
        <item x="21"/>
        <item x="14"/>
        <item x="30"/>
        <item m="1" x="53"/>
        <item x="19"/>
        <item x="29"/>
        <item x="4"/>
        <item m="1" x="52"/>
        <item x="18"/>
        <item x="20"/>
        <item x="15"/>
        <item m="1" x="48"/>
        <item x="44"/>
        <item x="45"/>
        <item x="46"/>
        <item x="47"/>
        <item x="43"/>
      </items>
    </pivotField>
    <pivotField axis="axisRow" compact="0" outline="0" showAll="0" defaultSubtotal="0">
      <items count="71">
        <item x="20"/>
        <item x="26"/>
        <item x="54"/>
        <item m="1" x="57"/>
        <item x="30"/>
        <item x="37"/>
        <item m="1" x="70"/>
        <item x="35"/>
        <item m="1" x="59"/>
        <item m="1" x="62"/>
        <item x="0"/>
        <item x="29"/>
        <item x="24"/>
        <item m="1" x="60"/>
        <item x="14"/>
        <item x="16"/>
        <item x="15"/>
        <item x="25"/>
        <item x="10"/>
        <item x="9"/>
        <item x="11"/>
        <item x="5"/>
        <item x="31"/>
        <item x="2"/>
        <item x="18"/>
        <item m="1" x="58"/>
        <item x="33"/>
        <item x="55"/>
        <item x="36"/>
        <item x="7"/>
        <item x="21"/>
        <item x="4"/>
        <item x="8"/>
        <item x="1"/>
        <item x="17"/>
        <item x="12"/>
        <item x="28"/>
        <item x="32"/>
        <item x="27"/>
        <item x="34"/>
        <item x="13"/>
        <item x="23"/>
        <item x="6"/>
        <item x="19"/>
        <item m="1" x="61"/>
        <item m="1" x="63"/>
        <item m="1" x="64"/>
        <item m="1" x="65"/>
        <item m="1" x="66"/>
        <item x="3"/>
        <item x="22"/>
        <item m="1" x="67"/>
        <item m="1" x="68"/>
        <item m="1" x="69"/>
        <item x="52"/>
        <item x="53"/>
        <item x="5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compact="0" outline="0" showAll="0" defaultSubtotal="0">
      <items count="72">
        <item x="29"/>
        <item m="1" x="54"/>
        <item x="27"/>
        <item x="19"/>
        <item x="51"/>
        <item m="1" x="71"/>
        <item m="1" x="57"/>
        <item x="42"/>
        <item x="12"/>
        <item m="1" x="68"/>
        <item x="39"/>
        <item m="1" x="56"/>
        <item m="1" x="60"/>
        <item x="9"/>
        <item m="1" x="59"/>
        <item x="0"/>
        <item x="32"/>
        <item x="33"/>
        <item x="40"/>
        <item x="16"/>
        <item x="11"/>
        <item x="10"/>
        <item x="34"/>
        <item m="1" x="58"/>
        <item x="35"/>
        <item x="28"/>
        <item x="17"/>
        <item x="5"/>
        <item x="20"/>
        <item x="2"/>
        <item m="1" x="55"/>
        <item x="52"/>
        <item x="41"/>
        <item m="1" x="69"/>
        <item x="22"/>
        <item x="7"/>
        <item x="4"/>
        <item x="37"/>
        <item m="1" x="70"/>
        <item x="1"/>
        <item x="8"/>
        <item x="36"/>
        <item x="13"/>
        <item x="18"/>
        <item x="31"/>
        <item x="30"/>
        <item x="26"/>
        <item x="14"/>
        <item x="21"/>
        <item x="6"/>
        <item m="1" x="61"/>
        <item m="1" x="62"/>
        <item m="1" x="63"/>
        <item x="15"/>
        <item x="38"/>
        <item x="3"/>
        <item x="23"/>
        <item x="24"/>
        <item x="25"/>
        <item m="1" x="64"/>
        <item m="1" x="65"/>
        <item m="1" x="66"/>
        <item m="1" x="67"/>
        <item x="48"/>
        <item x="49"/>
        <item x="50"/>
        <item x="53"/>
        <item x="43"/>
        <item x="44"/>
        <item x="45"/>
        <item x="46"/>
        <item x="47"/>
      </items>
    </pivotField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8">
        <item x="2"/>
        <item x="0"/>
        <item x="4"/>
        <item x="1"/>
        <item x="3"/>
        <item x="7"/>
        <item x="5"/>
        <item x="6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descending" defaultSubtotal="0">
      <items count="7">
        <item x="6"/>
        <item x="5"/>
        <item x="0"/>
        <item x="4"/>
        <item x="3"/>
        <item x="2"/>
        <item x="1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0">
        <item x="8"/>
        <item x="7"/>
        <item x="31"/>
        <item x="19"/>
        <item x="21"/>
        <item x="28"/>
        <item x="3"/>
        <item x="20"/>
        <item x="25"/>
        <item x="5"/>
        <item x="15"/>
        <item x="4"/>
        <item x="13"/>
        <item x="0"/>
        <item x="35"/>
        <item x="17"/>
        <item x="29"/>
        <item x="18"/>
        <item x="6"/>
        <item x="2"/>
        <item x="27"/>
        <item x="30"/>
        <item x="12"/>
        <item x="10"/>
        <item x="26"/>
        <item x="11"/>
        <item x="37"/>
        <item x="9"/>
        <item x="22"/>
        <item x="16"/>
        <item x="23"/>
        <item x="24"/>
        <item x="1"/>
        <item x="36"/>
        <item x="14"/>
        <item x="32"/>
        <item x="33"/>
        <item x="34"/>
        <item x="38"/>
        <item x="3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0">
        <item x="8"/>
        <item x="34"/>
        <item x="20"/>
        <item x="15"/>
        <item x="33"/>
        <item x="24"/>
        <item x="30"/>
        <item x="0"/>
        <item x="1"/>
        <item x="27"/>
        <item x="28"/>
        <item x="11"/>
        <item x="2"/>
        <item x="19"/>
        <item x="31"/>
        <item x="9"/>
        <item x="38"/>
        <item x="18"/>
        <item x="7"/>
        <item x="12"/>
        <item x="21"/>
        <item x="22"/>
        <item x="5"/>
        <item x="14"/>
        <item x="10"/>
        <item x="3"/>
        <item x="13"/>
        <item x="16"/>
        <item x="6"/>
        <item x="17"/>
        <item x="25"/>
        <item x="29"/>
        <item x="4"/>
        <item x="26"/>
        <item x="35"/>
        <item x="36"/>
        <item x="23"/>
        <item x="37"/>
        <item x="32"/>
        <item x="3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0">
    <field x="1"/>
    <field x="2"/>
    <field x="12"/>
    <field x="8"/>
    <field x="5"/>
    <field x="3"/>
    <field x="16"/>
    <field x="21"/>
    <field x="4"/>
    <field x="0"/>
  </rowFields>
  <rowItems count="73">
    <i>
      <x v="1"/>
      <x v="1"/>
      <x v="2"/>
      <x v="1"/>
      <x v="10"/>
      <x v="4"/>
      <x v="31"/>
      <x v="10"/>
      <x v="7"/>
      <x/>
    </i>
    <i r="4">
      <x v="32"/>
      <x v="33"/>
      <x v="17"/>
      <x v="6"/>
      <x v="28"/>
      <x/>
    </i>
    <i r="2">
      <x v="4"/>
      <x v="4"/>
      <x v="18"/>
      <x v="26"/>
      <x v="20"/>
      <x v="31"/>
      <x v="28"/>
      <x/>
    </i>
    <i>
      <x v="3"/>
      <x v="10"/>
      <x v="3"/>
      <x v="2"/>
      <x v="2"/>
      <x v="40"/>
      <x v="30"/>
      <x v="2"/>
      <x v="12"/>
      <x v="1"/>
    </i>
    <i r="1">
      <x v="15"/>
      <x v="1"/>
      <x v="6"/>
      <x v="67"/>
      <x v="59"/>
      <x v="37"/>
      <x v="38"/>
      <x v="57"/>
      <x v="4"/>
    </i>
    <i r="2">
      <x v="2"/>
      <x v="1"/>
      <x v="3"/>
      <x v="47"/>
      <x v="29"/>
      <x v="3"/>
      <x v="14"/>
      <x v="1"/>
    </i>
    <i r="4">
      <x v="25"/>
      <x v="2"/>
      <x v="31"/>
      <x v="2"/>
      <x v="17"/>
      <x v="1"/>
    </i>
    <i r="4">
      <x v="28"/>
      <x v="52"/>
      <x v="29"/>
      <x v="3"/>
      <x v="24"/>
      <x v="1"/>
    </i>
    <i r="2">
      <x v="4"/>
      <x v="4"/>
      <x v="48"/>
      <x v="43"/>
      <x v="15"/>
      <x v="27"/>
      <x v="43"/>
      <x v="1"/>
    </i>
    <i r="2">
      <x v="5"/>
      <x/>
      <x v="8"/>
      <x v="37"/>
      <x v="25"/>
      <x v="24"/>
      <x v="20"/>
      <x v="1"/>
    </i>
    <i r="4">
      <x v="13"/>
      <x v="14"/>
      <x/>
      <x v="18"/>
      <x v="19"/>
      <x v="1"/>
    </i>
    <i r="4">
      <x v="19"/>
      <x v="11"/>
      <x v="10"/>
      <x v="26"/>
      <x v="16"/>
      <x v="1"/>
    </i>
    <i r="4">
      <x v="21"/>
      <x v="9"/>
      <x v="27"/>
      <x/>
      <x v="19"/>
      <x v="1"/>
    </i>
    <i r="4">
      <x v="26"/>
      <x v="42"/>
      <x v="12"/>
      <x v="23"/>
      <x v="15"/>
      <x v="1"/>
    </i>
    <i r="4">
      <x v="43"/>
      <x v="51"/>
      <x v="25"/>
      <x v="23"/>
      <x v="34"/>
      <x v="1"/>
    </i>
    <i r="4">
      <x v="47"/>
      <x v="44"/>
      <x v="12"/>
      <x v="24"/>
      <x v="40"/>
      <x v="1"/>
    </i>
    <i r="4">
      <x v="53"/>
      <x v="53"/>
      <x v="34"/>
      <x v="19"/>
      <x v="14"/>
      <x v="1"/>
    </i>
    <i r="2">
      <x v="6"/>
      <x v="3"/>
      <x v="20"/>
      <x v="29"/>
      <x v="23"/>
      <x v="15"/>
      <x v="18"/>
      <x v="1"/>
    </i>
    <i r="4">
      <x v="36"/>
      <x v="49"/>
      <x v="11"/>
      <x v="25"/>
      <x v="31"/>
      <x v="1"/>
    </i>
    <i r="4">
      <x v="42"/>
      <x v="28"/>
      <x v="22"/>
      <x v="11"/>
      <x v="35"/>
      <x v="1"/>
    </i>
    <i>
      <x v="4"/>
      <x v="3"/>
      <x/>
      <x v="3"/>
      <x v="65"/>
      <x v="6"/>
      <x v="39"/>
      <x v="5"/>
      <x/>
      <x v="1"/>
    </i>
    <i r="2">
      <x v="1"/>
      <x v="6"/>
      <x v="68"/>
      <x v="59"/>
      <x v="33"/>
      <x v="1"/>
      <x v="63"/>
      <x v="3"/>
    </i>
    <i r="2">
      <x v="4"/>
      <x v="4"/>
      <x v="34"/>
      <x v="38"/>
      <x v="17"/>
      <x v="29"/>
      <x/>
      <x v="1"/>
    </i>
    <i r="2">
      <x v="6"/>
      <x v="3"/>
      <x v="57"/>
      <x v="20"/>
      <x v="7"/>
      <x v="13"/>
      <x/>
      <x v="1"/>
    </i>
    <i r="1">
      <x v="7"/>
      <x v="2"/>
      <x v="1"/>
      <x v="17"/>
      <x v="30"/>
      <x v="16"/>
      <x v="7"/>
      <x v="4"/>
      <x/>
    </i>
    <i r="2">
      <x v="5"/>
      <x/>
      <x v="41"/>
      <x v="39"/>
      <x v="2"/>
      <x v="33"/>
      <x v="4"/>
      <x/>
    </i>
    <i r="1">
      <x v="8"/>
      <x v="1"/>
      <x v="5"/>
      <x v="63"/>
      <x v="55"/>
      <x v="33"/>
      <x v="38"/>
      <x v="54"/>
      <x v="1"/>
    </i>
    <i>
      <x v="9"/>
      <x v="2"/>
      <x v="1"/>
      <x v="5"/>
      <x v="31"/>
      <x v="57"/>
      <x v="37"/>
      <x v="38"/>
      <x v="27"/>
      <x v="1"/>
    </i>
    <i r="3">
      <x v="6"/>
      <x v="63"/>
      <x v="55"/>
      <x v="38"/>
      <x v="39"/>
      <x v="54"/>
      <x v="1"/>
    </i>
    <i r="4">
      <x v="68"/>
      <x v="59"/>
      <x v="26"/>
      <x v="34"/>
      <x v="64"/>
      <x v="3"/>
    </i>
    <i r="2">
      <x v="4"/>
      <x v="4"/>
      <x v="35"/>
      <x v="18"/>
      <x v="18"/>
      <x v="28"/>
      <x v="29"/>
      <x v="1"/>
    </i>
    <i r="2">
      <x v="5"/>
      <x/>
      <x v="27"/>
      <x v="21"/>
      <x v="11"/>
      <x v="32"/>
      <x v="21"/>
      <x v="1"/>
    </i>
    <i r="4">
      <x v="40"/>
      <x v="15"/>
      <x v="1"/>
      <x v="18"/>
      <x v="32"/>
      <x v="1"/>
    </i>
    <i r="2">
      <x v="6"/>
      <x v="3"/>
      <x v="49"/>
      <x v="16"/>
      <x v="9"/>
      <x v="22"/>
      <x v="42"/>
      <x v="1"/>
    </i>
    <i r="4">
      <x v="55"/>
      <x v="17"/>
      <x v="6"/>
      <x v="12"/>
      <x v="49"/>
      <x v="1"/>
    </i>
    <i r="1">
      <x v="3"/>
      <x v="1"/>
      <x v="5"/>
      <x v="4"/>
      <x v="56"/>
      <x v="37"/>
      <x v="38"/>
      <x v="2"/>
      <x v="1"/>
    </i>
    <i r="4">
      <x v="64"/>
      <x v="55"/>
      <x v="33"/>
      <x v="38"/>
      <x v="55"/>
      <x/>
    </i>
    <i r="2">
      <x v="4"/>
      <x v="4"/>
      <x v="46"/>
      <x v="35"/>
      <x v="28"/>
      <x v="29"/>
      <x v="41"/>
      <x v="1"/>
    </i>
    <i r="2">
      <x v="6"/>
      <x v="3"/>
      <x v="56"/>
      <x v="22"/>
      <x v="3"/>
      <x v="17"/>
      <x v="30"/>
      <x v="1"/>
    </i>
    <i r="4">
      <x v="58"/>
      <x v="23"/>
      <x v="4"/>
      <x v="17"/>
      <x v="50"/>
      <x v="1"/>
    </i>
    <i>
      <x v="10"/>
      <x v="12"/>
      <x v="1"/>
      <x v="6"/>
      <x v="67"/>
      <x v="59"/>
      <x v="11"/>
      <x v="25"/>
      <x v="68"/>
      <x v="3"/>
    </i>
    <i r="2">
      <x v="4"/>
      <x v="4"/>
      <x v="44"/>
      <x v="36"/>
      <x v="20"/>
      <x v="36"/>
      <x v="36"/>
      <x v="1"/>
    </i>
    <i r="2">
      <x v="5"/>
      <x/>
      <x v="16"/>
      <x v="6"/>
      <x v="5"/>
      <x v="26"/>
      <x v="11"/>
      <x v="1"/>
    </i>
    <i r="2">
      <x v="6"/>
      <x v="3"/>
      <x v="45"/>
      <x v="45"/>
      <x v="24"/>
      <x v="21"/>
      <x v="38"/>
      <x v="1"/>
    </i>
    <i r="1">
      <x v="14"/>
      <x v="6"/>
      <x v="3"/>
      <x/>
      <x v="48"/>
      <x v="8"/>
      <x v="20"/>
      <x v="1"/>
      <x v="1"/>
    </i>
    <i>
      <x v="12"/>
      <x/>
      <x v="1"/>
      <x v="5"/>
      <x v="66"/>
      <x v="58"/>
      <x v="37"/>
      <x v="38"/>
      <x v="56"/>
      <x v="1"/>
    </i>
    <i r="2">
      <x v="2"/>
      <x v="1"/>
      <x v="22"/>
      <x v="31"/>
      <x v="16"/>
      <x v="5"/>
      <x v="22"/>
      <x/>
    </i>
    <i r="4">
      <x v="37"/>
      <x v="24"/>
      <x v="16"/>
      <x v="5"/>
      <x v="26"/>
      <x/>
    </i>
    <i r="2">
      <x v="4"/>
      <x v="4"/>
      <x v="24"/>
      <x/>
      <x v="21"/>
      <x v="30"/>
      <x v="37"/>
      <x/>
    </i>
    <i r="1">
      <x v="5"/>
      <x v="2"/>
      <x v="1"/>
      <x v="54"/>
      <x v="8"/>
      <x v="35"/>
      <x v="9"/>
      <x v="39"/>
      <x/>
    </i>
    <i r="1">
      <x v="6"/>
      <x v="1"/>
      <x v="5"/>
      <x v="63"/>
      <x v="55"/>
      <x v="38"/>
      <x v="39"/>
      <x v="54"/>
      <x/>
    </i>
    <i r="1">
      <x v="9"/>
      <x v="2"/>
      <x v="1"/>
      <x v="15"/>
      <x v="1"/>
      <x v="13"/>
      <x v="7"/>
      <x v="10"/>
      <x v="1"/>
    </i>
    <i r="4">
      <x v="29"/>
      <x v="34"/>
      <x v="19"/>
      <x v="8"/>
      <x v="23"/>
      <x v="1"/>
    </i>
    <i r="4">
      <x v="39"/>
      <x v="5"/>
      <x v="32"/>
      <x v="7"/>
      <x v="33"/>
      <x v="1"/>
    </i>
    <i r="1">
      <x v="16"/>
      <x v="1"/>
      <x v="5"/>
      <x v="63"/>
      <x v="55"/>
      <x v="33"/>
      <x v="38"/>
      <x v="54"/>
      <x/>
    </i>
    <i>
      <x v="14"/>
      <x v="4"/>
      <x v="1"/>
      <x v="5"/>
      <x v="63"/>
      <x v="55"/>
      <x v="38"/>
      <x v="39"/>
      <x v="54"/>
      <x v="2"/>
    </i>
    <i r="3">
      <x v="7"/>
      <x v="71"/>
      <x v="59"/>
      <x v="34"/>
      <x v="19"/>
      <x v="70"/>
      <x v="3"/>
    </i>
    <i r="2">
      <x v="6"/>
      <x v="3"/>
      <x v="7"/>
      <x v="27"/>
      <x v="36"/>
      <x v="14"/>
      <x v="5"/>
      <x/>
    </i>
    <i>
      <x v="16"/>
      <x v="13"/>
      <x v="1"/>
      <x v="5"/>
      <x v="63"/>
      <x v="55"/>
      <x v="38"/>
      <x v="39"/>
      <x v="54"/>
      <x v="1"/>
    </i>
    <i>
      <x v="18"/>
      <x v="3"/>
      <x v="1"/>
      <x v="6"/>
      <x v="70"/>
      <x v="59"/>
      <x v="20"/>
      <x v="10"/>
      <x v="66"/>
      <x v="3"/>
    </i>
    <i r="1">
      <x v="14"/>
      <x v="1"/>
      <x v="6"/>
      <x v="68"/>
      <x v="59"/>
      <x v="22"/>
      <x v="16"/>
      <x v="69"/>
      <x v="3"/>
    </i>
    <i r="1">
      <x v="17"/>
      <x/>
      <x v="6"/>
      <x v="63"/>
      <x v="55"/>
      <x v="38"/>
      <x v="39"/>
      <x v="54"/>
      <x v="3"/>
    </i>
    <i r="2">
      <x v="1"/>
      <x v="5"/>
      <x v="63"/>
      <x v="55"/>
      <x v="38"/>
      <x v="39"/>
      <x v="54"/>
      <x/>
    </i>
    <i r="3">
      <x v="6"/>
      <x v="63"/>
      <x v="55"/>
      <x v="38"/>
      <x v="39"/>
      <x v="54"/>
      <x v="3"/>
    </i>
    <i r="4">
      <x v="67"/>
      <x v="55"/>
      <x v="14"/>
      <x v="29"/>
      <x v="61"/>
      <x v="3"/>
    </i>
    <i r="6">
      <x v="29"/>
      <x v="5"/>
      <x v="59"/>
      <x v="3"/>
    </i>
    <i r="4">
      <x v="68"/>
      <x v="55"/>
      <x v="16"/>
      <x v="35"/>
      <x v="65"/>
      <x v="3"/>
    </i>
    <i r="6">
      <x v="20"/>
      <x v="30"/>
      <x v="60"/>
      <x v="3"/>
    </i>
    <i r="6">
      <x v="29"/>
      <x v="4"/>
      <x v="58"/>
      <x v="3"/>
    </i>
    <i r="4">
      <x v="69"/>
      <x v="55"/>
      <x v="29"/>
      <x v="7"/>
      <x v="62"/>
      <x v="3"/>
    </i>
    <i r="4">
      <x v="70"/>
      <x v="55"/>
      <x v="21"/>
      <x v="37"/>
      <x v="67"/>
      <x v="3"/>
    </i>
    <i r="3">
      <x v="7"/>
      <x v="63"/>
      <x v="55"/>
      <x v="33"/>
      <x v="38"/>
      <x v="54"/>
      <x v="5"/>
    </i>
    <i t="grand">
      <x/>
    </i>
  </rowItems>
  <colItems count="1">
    <i/>
  </colItems>
  <formats count="379">
    <format dxfId="9257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925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9259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926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9261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926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926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5"/>
          </reference>
        </references>
      </pivotArea>
    </format>
    <format dxfId="926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0"/>
          <reference field="12" count="1" selected="0">
            <x v="4"/>
          </reference>
        </references>
      </pivotArea>
    </format>
    <format dxfId="926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12" count="1">
            <x v="4"/>
          </reference>
        </references>
      </pivotArea>
    </format>
    <format dxfId="926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12" count="1">
            <x v="3"/>
          </reference>
        </references>
      </pivotArea>
    </format>
    <format dxfId="9267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4">
            <x v="2"/>
            <x v="4"/>
            <x v="5"/>
            <x v="6"/>
          </reference>
        </references>
      </pivotArea>
    </format>
    <format dxfId="926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26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0"/>
          </reference>
          <reference field="8" count="1">
            <x v="2"/>
          </reference>
          <reference field="12" count="1" selected="0">
            <x v="3"/>
          </reference>
        </references>
      </pivotArea>
    </format>
    <format dxfId="927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927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27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927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9274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5" count="1">
            <x v="18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275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0"/>
          </reference>
          <reference field="5" count="1">
            <x v="2"/>
          </reference>
          <reference field="8" count="1" selected="0">
            <x v="2"/>
          </reference>
          <reference field="12" count="1" selected="0">
            <x v="3"/>
          </reference>
        </references>
      </pivotArea>
    </format>
    <format dxfId="9276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5" count="3">
            <x v="3"/>
            <x v="25"/>
            <x v="28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277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5" count="1">
            <x v="48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278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5" count="9">
            <x v="8"/>
            <x v="13"/>
            <x v="19"/>
            <x v="21"/>
            <x v="26"/>
            <x v="36"/>
            <x v="38"/>
            <x v="43"/>
            <x v="47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279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5" count="2">
            <x v="20"/>
            <x v="42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280">
      <pivotArea field="1" type="button" dataOnly="0" labelOnly="1" outline="0" axis="axisRow" fieldPosition="0"/>
    </format>
    <format dxfId="9281">
      <pivotArea field="2" type="button" dataOnly="0" labelOnly="1" outline="0" axis="axisRow" fieldPosition="1"/>
    </format>
    <format dxfId="9282">
      <pivotArea field="12" type="button" dataOnly="0" labelOnly="1" outline="0" axis="axisRow" fieldPosition="2"/>
    </format>
    <format dxfId="9283">
      <pivotArea field="8" type="button" dataOnly="0" labelOnly="1" outline="0" axis="axisRow" fieldPosition="3"/>
    </format>
    <format dxfId="9284">
      <pivotArea field="5" type="button" dataOnly="0" labelOnly="1" outline="0" axis="axisRow" fieldPosition="4"/>
    </format>
    <format dxfId="9285">
      <pivotArea field="3" type="button" dataOnly="0" labelOnly="1" outline="0" axis="axisRow" fieldPosition="5"/>
    </format>
    <format dxfId="9286">
      <pivotArea field="16" type="button" dataOnly="0" labelOnly="1" outline="0" axis="axisRow" fieldPosition="6"/>
    </format>
    <format dxfId="9287">
      <pivotArea field="21" type="button" dataOnly="0" labelOnly="1" outline="0" axis="axisRow" fieldPosition="7"/>
    </format>
    <format dxfId="9288">
      <pivotArea field="4" type="button" dataOnly="0" labelOnly="1" outline="0" axis="axisRow" fieldPosition="8"/>
    </format>
    <format dxfId="9289">
      <pivotArea field="0" type="button" dataOnly="0" labelOnly="1" outline="0" axis="axisRow" fieldPosition="9"/>
    </format>
    <format dxfId="9290">
      <pivotArea dataOnly="0" labelOnly="1" outline="0" fieldPosition="0">
        <references count="1">
          <reference field="1" count="0"/>
        </references>
      </pivotArea>
    </format>
    <format dxfId="9291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9292">
      <pivotArea dataOnly="0" labelOnly="1" outline="0" fieldPosition="0">
        <references count="2">
          <reference field="1" count="1" selected="0">
            <x v="3"/>
          </reference>
          <reference field="2" count="2">
            <x v="10"/>
            <x v="15"/>
          </reference>
        </references>
      </pivotArea>
    </format>
    <format dxfId="9293">
      <pivotArea dataOnly="0" labelOnly="1" outline="0" fieldPosition="0">
        <references count="2">
          <reference field="1" count="1" selected="0">
            <x v="4"/>
          </reference>
          <reference field="2" count="2">
            <x v="3"/>
            <x v="7"/>
          </reference>
        </references>
      </pivotArea>
    </format>
    <format dxfId="9294">
      <pivotArea dataOnly="0" labelOnly="1" outline="0" fieldPosition="0">
        <references count="2">
          <reference field="1" count="1" selected="0">
            <x v="9"/>
          </reference>
          <reference field="2" count="2">
            <x v="2"/>
            <x v="8"/>
          </reference>
        </references>
      </pivotArea>
    </format>
    <format dxfId="9295">
      <pivotArea dataOnly="0" labelOnly="1" outline="0" fieldPosition="0">
        <references count="2">
          <reference field="1" count="1" selected="0">
            <x v="10"/>
          </reference>
          <reference field="2" count="2">
            <x v="12"/>
            <x v="14"/>
          </reference>
        </references>
      </pivotArea>
    </format>
    <format dxfId="9296">
      <pivotArea dataOnly="0" labelOnly="1" outline="0" fieldPosition="0">
        <references count="2">
          <reference field="1" count="1" selected="0">
            <x v="12"/>
          </reference>
          <reference field="2" count="4">
            <x v="0"/>
            <x v="5"/>
            <x v="6"/>
            <x v="9"/>
          </reference>
        </references>
      </pivotArea>
    </format>
    <format dxfId="9297">
      <pivotArea dataOnly="0" labelOnly="1" outline="0" fieldPosition="0">
        <references count="2">
          <reference field="1" count="1" selected="0">
            <x v="14"/>
          </reference>
          <reference field="2" count="2">
            <x v="4"/>
            <x v="11"/>
          </reference>
        </references>
      </pivotArea>
    </format>
    <format dxfId="9298">
      <pivotArea dataOnly="0" labelOnly="1" outline="0" fieldPosition="0">
        <references count="2">
          <reference field="1" count="1" selected="0">
            <x v="16"/>
          </reference>
          <reference field="2" count="1">
            <x v="13"/>
          </reference>
        </references>
      </pivotArea>
    </format>
    <format dxfId="929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12" count="2">
            <x v="2"/>
            <x v="4"/>
          </reference>
        </references>
      </pivotArea>
    </format>
    <format dxfId="9300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12" count="1">
            <x v="3"/>
          </reference>
        </references>
      </pivotArea>
    </format>
    <format dxfId="9301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4">
            <x v="2"/>
            <x v="4"/>
            <x v="5"/>
            <x v="6"/>
          </reference>
        </references>
      </pivotArea>
    </format>
    <format dxfId="9302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3"/>
          </reference>
          <reference field="12" count="2">
            <x v="4"/>
            <x v="6"/>
          </reference>
        </references>
      </pivotArea>
    </format>
    <format dxfId="9303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7"/>
          </reference>
          <reference field="12" count="2">
            <x v="2"/>
            <x v="5"/>
          </reference>
        </references>
      </pivotArea>
    </format>
    <format dxfId="9304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2"/>
          </reference>
          <reference field="12" count="3">
            <x v="4"/>
            <x v="5"/>
            <x v="6"/>
          </reference>
        </references>
      </pivotArea>
    </format>
    <format dxfId="9305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8"/>
          </reference>
          <reference field="12" count="2">
            <x v="4"/>
            <x v="5"/>
          </reference>
        </references>
      </pivotArea>
    </format>
    <format dxfId="9306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12"/>
          </reference>
          <reference field="12" count="3">
            <x v="4"/>
            <x v="5"/>
            <x v="6"/>
          </reference>
        </references>
      </pivotArea>
    </format>
    <format dxfId="9307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0"/>
          </reference>
          <reference field="12" count="2">
            <x v="2"/>
            <x v="4"/>
          </reference>
        </references>
      </pivotArea>
    </format>
    <format dxfId="9308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5"/>
          </reference>
          <reference field="12" count="2">
            <x v="2"/>
            <x v="4"/>
          </reference>
        </references>
      </pivotArea>
    </format>
    <format dxfId="9309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6"/>
          </reference>
          <reference field="12" count="1">
            <x v="6"/>
          </reference>
        </references>
      </pivotArea>
    </format>
    <format dxfId="9310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9"/>
          </reference>
          <reference field="12" count="1">
            <x v="2"/>
          </reference>
        </references>
      </pivotArea>
    </format>
    <format dxfId="9311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4"/>
          </reference>
          <reference field="12" count="2">
            <x v="4"/>
            <x v="6"/>
          </reference>
        </references>
      </pivotArea>
    </format>
    <format dxfId="9312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11"/>
          </reference>
          <reference field="12" count="1">
            <x v="2"/>
          </reference>
        </references>
      </pivotArea>
    </format>
    <format dxfId="93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931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1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0"/>
          </reference>
          <reference field="8" count="1">
            <x v="2"/>
          </reference>
          <reference field="12" count="1" selected="0">
            <x v="3"/>
          </reference>
        </references>
      </pivotArea>
    </format>
    <format dxfId="931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931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1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931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932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3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2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3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932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7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932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7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932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2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932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932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2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932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3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933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933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0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9333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0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34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5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9335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5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36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6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9337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9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933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4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933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4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934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11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934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5" count="2">
            <x v="10"/>
            <x v="32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4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5" count="1">
            <x v="18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43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0"/>
          </reference>
          <reference field="5" count="1">
            <x v="2"/>
          </reference>
          <reference field="8" count="1" selected="0">
            <x v="2"/>
          </reference>
          <reference field="12" count="1" selected="0">
            <x v="3"/>
          </reference>
        </references>
      </pivotArea>
    </format>
    <format dxfId="9344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5" count="3">
            <x v="3"/>
            <x v="25"/>
            <x v="28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45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5" count="1">
            <x v="48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46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5" count="9">
            <x v="8"/>
            <x v="13"/>
            <x v="19"/>
            <x v="21"/>
            <x v="26"/>
            <x v="36"/>
            <x v="38"/>
            <x v="43"/>
            <x v="47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47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5" count="2">
            <x v="20"/>
            <x v="42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4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3"/>
          </reference>
          <reference field="5" count="2">
            <x v="34"/>
            <x v="51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4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3"/>
          </reference>
          <reference field="5" count="1">
            <x v="33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50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7"/>
          </reference>
          <reference field="5" count="1">
            <x v="17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5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7"/>
          </reference>
          <reference field="5" count="1">
            <x v="41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52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"/>
          </reference>
          <reference field="5" count="1">
            <x v="35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53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"/>
          </reference>
          <reference field="5" count="4">
            <x v="9"/>
            <x v="27"/>
            <x v="40"/>
            <x v="50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54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"/>
          </reference>
          <reference field="5" count="2">
            <x v="31"/>
            <x v="49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55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"/>
          </reference>
          <reference field="5" count="1">
            <x v="46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56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"/>
          </reference>
          <reference field="5" count="1">
            <x v="4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57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5" count="1">
            <x v="4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58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5" count="1">
            <x v="16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59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5" count="1">
            <x v="45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60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4"/>
          </reference>
          <reference field="5" count="1">
            <x v="0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61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0"/>
          </reference>
          <reference field="5" count="2">
            <x v="22"/>
            <x v="37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62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0"/>
          </reference>
          <reference field="5" count="1">
            <x v="2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63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5"/>
          </reference>
          <reference field="5" count="2">
            <x v="5"/>
            <x v="52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64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6"/>
          </reference>
          <reference field="5" count="1">
            <x v="1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65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9"/>
          </reference>
          <reference field="5" count="3">
            <x v="15"/>
            <x v="29"/>
            <x v="39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66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5" count="1">
            <x v="11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67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5" count="2">
            <x v="6"/>
            <x v="23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68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5" count="1">
            <x v="7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69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11"/>
          </reference>
          <reference field="5" count="1">
            <x v="30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70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13"/>
          </reference>
          <reference field="5" count="2">
            <x v="12"/>
            <x v="14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7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3" count="1">
            <x v="4"/>
          </reference>
          <reference field="5" count="1" selected="0">
            <x v="10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7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3" count="1">
            <x v="33"/>
          </reference>
          <reference field="5" count="1" selected="0">
            <x v="32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7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3" count="1">
            <x v="26"/>
          </reference>
          <reference field="5" count="1" selected="0">
            <x v="18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74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0"/>
          </reference>
          <reference field="3" count="1">
            <x v="40"/>
          </reference>
          <reference field="5" count="1" selected="0">
            <x v="2"/>
          </reference>
          <reference field="8" count="1" selected="0">
            <x v="2"/>
          </reference>
          <reference field="12" count="1" selected="0">
            <x v="3"/>
          </reference>
        </references>
      </pivotArea>
    </format>
    <format dxfId="9375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47"/>
          </reference>
          <reference field="5" count="1" selected="0">
            <x v="3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76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2"/>
          </reference>
          <reference field="5" count="1" selected="0">
            <x v="25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77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52"/>
          </reference>
          <reference field="5" count="1" selected="0">
            <x v="28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78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43"/>
          </reference>
          <reference field="5" count="1" selected="0">
            <x v="48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79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37"/>
          </reference>
          <reference field="5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0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14"/>
          </reference>
          <reference field="5" count="1" selected="0">
            <x v="13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1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11"/>
          </reference>
          <reference field="5" count="1" selected="0">
            <x v="19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2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9"/>
          </reference>
          <reference field="5" count="1" selected="0">
            <x v="21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3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42"/>
          </reference>
          <reference field="5" count="1" selected="0">
            <x v="26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4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49"/>
          </reference>
          <reference field="5" count="1" selected="0">
            <x v="36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5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53"/>
          </reference>
          <reference field="5" count="1" selected="0">
            <x v="38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6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51"/>
          </reference>
          <reference field="5" count="1" selected="0">
            <x v="43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7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44"/>
          </reference>
          <reference field="5" count="1" selected="0">
            <x v="47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88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29"/>
          </reference>
          <reference field="5" count="1" selected="0">
            <x v="20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89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3" count="1">
            <x v="28"/>
          </reference>
          <reference field="5" count="1" selected="0">
            <x v="42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90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3" count="1">
            <x v="38"/>
          </reference>
          <reference field="5" count="1" selected="0">
            <x v="3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9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3" count="1">
            <x v="19"/>
          </reference>
          <reference field="5" count="1" selected="0">
            <x v="51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9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3" count="1">
            <x v="20"/>
          </reference>
          <reference field="5" count="1" selected="0">
            <x v="33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39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7"/>
          </reference>
          <reference field="3" count="1">
            <x v="30"/>
          </reference>
          <reference field="5" count="1" selected="0">
            <x v="17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39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7"/>
          </reference>
          <reference field="3" count="1">
            <x v="39"/>
          </reference>
          <reference field="5" count="1" selected="0">
            <x v="41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95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3" count="1">
            <x v="18"/>
          </reference>
          <reference field="5" count="1" selected="0">
            <x v="35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396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3" count="1">
            <x v="22"/>
          </reference>
          <reference field="5" count="1" selected="0">
            <x v="9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97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3" count="1">
            <x v="21"/>
          </reference>
          <reference field="5" count="1" selected="0">
            <x v="27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98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3" count="1">
            <x v="15"/>
          </reference>
          <reference field="5" count="1" selected="0">
            <x v="40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399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3" count="1">
            <x v="10"/>
          </reference>
          <reference field="5" count="1" selected="0">
            <x v="50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400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3" count="1">
            <x v="17"/>
          </reference>
          <reference field="5" count="1" selected="0">
            <x v="31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401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3" count="1">
            <x v="16"/>
          </reference>
          <reference field="5" count="1" selected="0">
            <x v="49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402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8"/>
          </reference>
          <reference field="3" count="1">
            <x v="35"/>
          </reference>
          <reference field="5" count="1" selected="0">
            <x v="46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403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8"/>
          </reference>
          <reference field="3" count="1">
            <x v="23"/>
          </reference>
          <reference field="5" count="1" selected="0">
            <x v="4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404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3" count="1">
            <x v="36"/>
          </reference>
          <reference field="5" count="1" selected="0">
            <x v="4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405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3" count="1">
            <x v="6"/>
          </reference>
          <reference field="5" count="1" selected="0">
            <x v="16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406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3" count="1">
            <x v="45"/>
          </reference>
          <reference field="5" count="1" selected="0">
            <x v="45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407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4"/>
          </reference>
          <reference field="3" count="1">
            <x v="48"/>
          </reference>
          <reference field="5" count="1" selected="0">
            <x v="0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408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0"/>
          </reference>
          <reference field="3" count="1">
            <x v="31"/>
          </reference>
          <reference field="5" count="1" selected="0">
            <x v="22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09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0"/>
          </reference>
          <reference field="3" count="1">
            <x v="24"/>
          </reference>
          <reference field="5" count="1" selected="0">
            <x v="37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10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0"/>
          </reference>
          <reference field="3" count="1">
            <x v="0"/>
          </reference>
          <reference field="5" count="1" selected="0">
            <x v="2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411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5"/>
          </reference>
          <reference field="3" count="1">
            <x v="8"/>
          </reference>
          <reference field="5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12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5"/>
          </reference>
          <reference field="3" count="1">
            <x v="41"/>
          </reference>
          <reference field="5" count="1" selected="0">
            <x v="52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13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5"/>
          </reference>
          <reference field="3" count="1">
            <x v="3"/>
          </reference>
          <reference field="5" count="1" selected="0">
            <x v="52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414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6"/>
          </reference>
          <reference field="3" count="1">
            <x v="32"/>
          </reference>
          <reference field="5" count="1" selected="0">
            <x v="1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415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3" count="1">
            <x v="1"/>
          </reference>
          <reference field="5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16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3" count="1">
            <x v="34"/>
          </reference>
          <reference field="5" count="1" selected="0">
            <x v="29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17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3" count="1">
            <x v="5"/>
          </reference>
          <reference field="5" count="1" selected="0">
            <x v="39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18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3" count="1">
            <x v="25"/>
          </reference>
          <reference field="5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19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3" count="1">
            <x v="12"/>
          </reference>
          <reference field="5" count="1" selected="0">
            <x v="6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420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3" count="1">
            <x v="50"/>
          </reference>
          <reference field="5" count="1" selected="0">
            <x v="23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421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3" count="1">
            <x v="27"/>
          </reference>
          <reference field="5" count="1" selected="0">
            <x v="7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422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11"/>
          </reference>
          <reference field="3" count="1">
            <x v="13"/>
          </reference>
          <reference field="5" count="1" selected="0">
            <x v="30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23">
      <pivotArea dataOnly="0" labelOnly="1" outline="0" fieldPosition="0">
        <references count="6">
          <reference field="1" count="1" selected="0">
            <x v="16"/>
          </reference>
          <reference field="2" count="1" selected="0">
            <x v="13"/>
          </reference>
          <reference field="3" count="1">
            <x v="7"/>
          </reference>
          <reference field="5" count="1" selected="0">
            <x v="12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24">
      <pivotArea dataOnly="0" labelOnly="1" outline="0" fieldPosition="0">
        <references count="6">
          <reference field="1" count="1" selected="0">
            <x v="16"/>
          </reference>
          <reference field="2" count="1" selected="0">
            <x v="13"/>
          </reference>
          <reference field="3" count="1">
            <x v="46"/>
          </reference>
          <reference field="5" count="1" selected="0">
            <x v="14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425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  <reference field="5" count="1" selected="0">
            <x v="10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31"/>
          </reference>
        </references>
      </pivotArea>
    </format>
    <format dxfId="9426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3" count="1" selected="0">
            <x v="33"/>
          </reference>
          <reference field="5" count="1" selected="0">
            <x v="32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17"/>
          </reference>
        </references>
      </pivotArea>
    </format>
    <format dxfId="9427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3" count="1" selected="0">
            <x v="26"/>
          </reference>
          <reference field="5" count="1" selected="0">
            <x v="18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20"/>
          </reference>
        </references>
      </pivotArea>
    </format>
    <format dxfId="9428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0"/>
          </reference>
          <reference field="3" count="1" selected="0">
            <x v="40"/>
          </reference>
          <reference field="5" count="1" selected="0">
            <x v="2"/>
          </reference>
          <reference field="8" count="1" selected="0">
            <x v="2"/>
          </reference>
          <reference field="12" count="1" selected="0">
            <x v="3"/>
          </reference>
          <reference field="16" count="1">
            <x v="30"/>
          </reference>
        </references>
      </pivotArea>
    </format>
    <format dxfId="9429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7"/>
          </reference>
          <reference field="5" count="1" selected="0">
            <x v="3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29"/>
          </reference>
        </references>
      </pivotArea>
    </format>
    <format dxfId="943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"/>
          </reference>
          <reference field="5" count="1" selected="0">
            <x v="25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31"/>
          </reference>
        </references>
      </pivotArea>
    </format>
    <format dxfId="9431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2"/>
          </reference>
          <reference field="5" count="1" selected="0">
            <x v="28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29"/>
          </reference>
        </references>
      </pivotArea>
    </format>
    <format dxfId="9432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3"/>
          </reference>
          <reference field="5" count="1" selected="0">
            <x v="48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15"/>
          </reference>
        </references>
      </pivotArea>
    </format>
    <format dxfId="9433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37"/>
          </reference>
          <reference field="5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25"/>
          </reference>
        </references>
      </pivotArea>
    </format>
    <format dxfId="9434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14"/>
          </reference>
          <reference field="5" count="1" selected="0">
            <x v="13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0"/>
          </reference>
        </references>
      </pivotArea>
    </format>
    <format dxfId="9435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11"/>
          </reference>
          <reference field="5" count="1" selected="0">
            <x v="19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10"/>
          </reference>
        </references>
      </pivotArea>
    </format>
    <format dxfId="9436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9"/>
          </reference>
          <reference field="5" count="1" selected="0">
            <x v="21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27"/>
          </reference>
        </references>
      </pivotArea>
    </format>
    <format dxfId="943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2"/>
          </reference>
          <reference field="5" count="1" selected="0">
            <x v="26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12"/>
          </reference>
        </references>
      </pivotArea>
    </format>
    <format dxfId="9438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9"/>
          </reference>
          <reference field="5" count="1" selected="0">
            <x v="36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11"/>
          </reference>
        </references>
      </pivotArea>
    </format>
    <format dxfId="9439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3"/>
          </reference>
          <reference field="5" count="1" selected="0">
            <x v="38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34"/>
          </reference>
        </references>
      </pivotArea>
    </format>
    <format dxfId="944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1"/>
          </reference>
          <reference field="5" count="1" selected="0">
            <x v="43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25"/>
          </reference>
        </references>
      </pivotArea>
    </format>
    <format dxfId="9441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4"/>
          </reference>
          <reference field="5" count="1" selected="0">
            <x v="47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12"/>
          </reference>
        </references>
      </pivotArea>
    </format>
    <format dxfId="9442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9"/>
          </reference>
          <reference field="5" count="1" selected="0">
            <x v="20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23"/>
          </reference>
        </references>
      </pivotArea>
    </format>
    <format dxfId="9443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8"/>
          </reference>
          <reference field="5" count="1" selected="0">
            <x v="42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22"/>
          </reference>
        </references>
      </pivotArea>
    </format>
    <format dxfId="9444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3" count="1" selected="0">
            <x v="38"/>
          </reference>
          <reference field="5" count="1" selected="0">
            <x v="34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17"/>
          </reference>
        </references>
      </pivotArea>
    </format>
    <format dxfId="9445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3" count="1" selected="0">
            <x v="19"/>
          </reference>
          <reference field="5" count="1" selected="0">
            <x v="51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16"/>
          </reference>
        </references>
      </pivotArea>
    </format>
    <format dxfId="9446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3" count="1" selected="0">
            <x v="20"/>
          </reference>
          <reference field="5" count="1" selected="0">
            <x v="33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7"/>
          </reference>
        </references>
      </pivotArea>
    </format>
    <format dxfId="9447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3" count="1" selected="0">
            <x v="30"/>
          </reference>
          <reference field="5" count="1" selected="0">
            <x v="17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16"/>
          </reference>
        </references>
      </pivotArea>
    </format>
    <format dxfId="9448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3" count="1" selected="0">
            <x v="39"/>
          </reference>
          <reference field="5" count="1" selected="0">
            <x v="41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2"/>
          </reference>
        </references>
      </pivotArea>
    </format>
    <format dxfId="9449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3" count="1" selected="0">
            <x v="18"/>
          </reference>
          <reference field="5" count="1" selected="0">
            <x v="35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18"/>
          </reference>
        </references>
      </pivotArea>
    </format>
    <format dxfId="9450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3" count="1" selected="0">
            <x v="22"/>
          </reference>
          <reference field="5" count="1" selected="0">
            <x v="9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3"/>
          </reference>
        </references>
      </pivotArea>
    </format>
    <format dxfId="9451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3" count="1" selected="0">
            <x v="21"/>
          </reference>
          <reference field="5" count="1" selected="0">
            <x v="27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11"/>
          </reference>
        </references>
      </pivotArea>
    </format>
    <format dxfId="9452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3" count="1" selected="0">
            <x v="15"/>
          </reference>
          <reference field="5" count="1" selected="0">
            <x v="40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1"/>
          </reference>
        </references>
      </pivotArea>
    </format>
    <format dxfId="9453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3" count="1" selected="0">
            <x v="10"/>
          </reference>
          <reference field="5" count="1" selected="0">
            <x v="50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26"/>
          </reference>
        </references>
      </pivotArea>
    </format>
    <format dxfId="9454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3" count="1" selected="0">
            <x v="17"/>
          </reference>
          <reference field="5" count="1" selected="0">
            <x v="31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6"/>
          </reference>
        </references>
      </pivotArea>
    </format>
    <format dxfId="9455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3" count="1" selected="0">
            <x v="16"/>
          </reference>
          <reference field="5" count="1" selected="0">
            <x v="49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9"/>
          </reference>
        </references>
      </pivotArea>
    </format>
    <format dxfId="9456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3" count="1" selected="0">
            <x v="35"/>
          </reference>
          <reference field="5" count="1" selected="0">
            <x v="46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28"/>
          </reference>
        </references>
      </pivotArea>
    </format>
    <format dxfId="9457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3" count="1" selected="0">
            <x v="23"/>
          </reference>
          <reference field="5" count="1" selected="0">
            <x v="4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4"/>
          </reference>
        </references>
      </pivotArea>
    </format>
    <format dxfId="9458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36"/>
          </reference>
          <reference field="5" count="1" selected="0">
            <x v="44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20"/>
          </reference>
        </references>
      </pivotArea>
    </format>
    <format dxfId="9459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6"/>
          </reference>
          <reference field="5" count="1" selected="0">
            <x v="16"/>
          </reference>
          <reference field="8" count="1" selected="0">
            <x v="0"/>
          </reference>
          <reference field="12" count="1" selected="0">
            <x v="5"/>
          </reference>
          <reference field="16" count="1">
            <x v="5"/>
          </reference>
        </references>
      </pivotArea>
    </format>
    <format dxfId="9460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45"/>
          </reference>
          <reference field="5" count="1" selected="0">
            <x v="45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24"/>
          </reference>
        </references>
      </pivotArea>
    </format>
    <format dxfId="9461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4"/>
          </reference>
          <reference field="3" count="1" selected="0">
            <x v="48"/>
          </reference>
          <reference field="5" count="1" selected="0">
            <x v="0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8"/>
          </reference>
        </references>
      </pivotArea>
    </format>
    <format dxfId="9462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3" count="1" selected="0">
            <x v="31"/>
          </reference>
          <reference field="5" count="1" selected="0">
            <x v="22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16"/>
          </reference>
        </references>
      </pivotArea>
    </format>
    <format dxfId="9463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3" count="1" selected="0">
            <x v="0"/>
          </reference>
          <reference field="5" count="1" selected="0">
            <x v="24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21"/>
          </reference>
        </references>
      </pivotArea>
    </format>
    <format dxfId="9464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3" count="1" selected="0">
            <x v="8"/>
          </reference>
          <reference field="5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35"/>
          </reference>
        </references>
      </pivotArea>
    </format>
    <format dxfId="9465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3" count="1" selected="0">
            <x v="41"/>
          </reference>
          <reference field="5" count="1" selected="0">
            <x v="52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20"/>
          </reference>
        </references>
      </pivotArea>
    </format>
    <format dxfId="9466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3" count="1" selected="0">
            <x v="3"/>
          </reference>
          <reference field="5" count="1" selected="0">
            <x v="52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21"/>
          </reference>
        </references>
      </pivotArea>
    </format>
    <format dxfId="9467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6"/>
          </reference>
          <reference field="3" count="1" selected="0">
            <x v="32"/>
          </reference>
          <reference field="5" count="1" selected="0">
            <x v="1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22"/>
          </reference>
        </references>
      </pivotArea>
    </format>
    <format dxfId="9468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3" count="1" selected="0">
            <x v="1"/>
          </reference>
          <reference field="5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13"/>
          </reference>
        </references>
      </pivotArea>
    </format>
    <format dxfId="9469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3" count="1" selected="0">
            <x v="34"/>
          </reference>
          <reference field="5" count="1" selected="0">
            <x v="29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19"/>
          </reference>
        </references>
      </pivotArea>
    </format>
    <format dxfId="9470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3" count="1" selected="0">
            <x v="5"/>
          </reference>
          <reference field="5" count="1" selected="0">
            <x v="39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32"/>
          </reference>
        </references>
      </pivotArea>
    </format>
    <format dxfId="9471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3" count="1" selected="0">
            <x v="25"/>
          </reference>
          <reference field="5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29"/>
          </reference>
        </references>
      </pivotArea>
    </format>
    <format dxfId="9472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3" count="1" selected="0">
            <x v="12"/>
          </reference>
          <reference field="5" count="1" selected="0">
            <x v="6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20"/>
          </reference>
        </references>
      </pivotArea>
    </format>
    <format dxfId="9473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3" count="1" selected="0">
            <x v="50"/>
          </reference>
          <reference field="5" count="1" selected="0">
            <x v="23"/>
          </reference>
          <reference field="8" count="1" selected="0">
            <x v="4"/>
          </reference>
          <reference field="12" count="1" selected="0">
            <x v="4"/>
          </reference>
          <reference field="16" count="1">
            <x v="14"/>
          </reference>
        </references>
      </pivotArea>
    </format>
    <format dxfId="9474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3" count="1" selected="0">
            <x v="27"/>
          </reference>
          <reference field="5" count="1" selected="0">
            <x v="7"/>
          </reference>
          <reference field="8" count="1" selected="0">
            <x v="3"/>
          </reference>
          <reference field="12" count="1" selected="0">
            <x v="6"/>
          </reference>
          <reference field="16" count="1">
            <x v="36"/>
          </reference>
        </references>
      </pivotArea>
    </format>
    <format dxfId="9475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11"/>
          </reference>
          <reference field="3" count="1" selected="0">
            <x v="13"/>
          </reference>
          <reference field="5" count="1" selected="0">
            <x v="30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29"/>
          </reference>
        </references>
      </pivotArea>
    </format>
    <format dxfId="9476">
      <pivotArea dataOnly="0" labelOnly="1" outline="0" fieldPosition="0">
        <references count="7">
          <reference field="1" count="1" selected="0">
            <x v="16"/>
          </reference>
          <reference field="2" count="1" selected="0">
            <x v="13"/>
          </reference>
          <reference field="3" count="1" selected="0">
            <x v="7"/>
          </reference>
          <reference field="5" count="1" selected="0">
            <x v="12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33"/>
          </reference>
        </references>
      </pivotArea>
    </format>
    <format dxfId="9477">
      <pivotArea dataOnly="0" labelOnly="1" outline="0" fieldPosition="0">
        <references count="7">
          <reference field="1" count="1" selected="0">
            <x v="16"/>
          </reference>
          <reference field="2" count="1" selected="0">
            <x v="13"/>
          </reference>
          <reference field="3" count="1" selected="0">
            <x v="46"/>
          </reference>
          <reference field="5" count="1" selected="0">
            <x v="14"/>
          </reference>
          <reference field="8" count="1" selected="0">
            <x v="1"/>
          </reference>
          <reference field="12" count="1" selected="0">
            <x v="2"/>
          </reference>
          <reference field="16" count="1">
            <x v="29"/>
          </reference>
        </references>
      </pivotArea>
    </format>
    <format dxfId="9478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  <reference field="5" count="1" selected="0">
            <x v="10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1"/>
          </reference>
          <reference field="21" count="1">
            <x v="10"/>
          </reference>
        </references>
      </pivotArea>
    </format>
    <format dxfId="9479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3" count="1" selected="0">
            <x v="33"/>
          </reference>
          <reference field="5" count="1" selected="0">
            <x v="3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7"/>
          </reference>
          <reference field="21" count="1">
            <x v="6"/>
          </reference>
        </references>
      </pivotArea>
    </format>
    <format dxfId="9480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3" count="1" selected="0">
            <x v="26"/>
          </reference>
          <reference field="5" count="1" selected="0">
            <x v="18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0"/>
          </reference>
          <reference field="21" count="1">
            <x v="31"/>
          </reference>
        </references>
      </pivotArea>
    </format>
    <format dxfId="9481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0"/>
          </reference>
          <reference field="3" count="1" selected="0">
            <x v="40"/>
          </reference>
          <reference field="5" count="1" selected="0">
            <x v="2"/>
          </reference>
          <reference field="8" count="1" selected="0">
            <x v="2"/>
          </reference>
          <reference field="12" count="1" selected="0">
            <x v="3"/>
          </reference>
          <reference field="16" count="1" selected="0">
            <x v="30"/>
          </reference>
          <reference field="21" count="1">
            <x v="2"/>
          </reference>
        </references>
      </pivotArea>
    </format>
    <format dxfId="9482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7"/>
          </reference>
          <reference field="5" count="1" selected="0">
            <x v="3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>
            <x v="3"/>
          </reference>
        </references>
      </pivotArea>
    </format>
    <format dxfId="9483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"/>
          </reference>
          <reference field="5" count="1" selected="0">
            <x v="2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1"/>
          </reference>
          <reference field="21" count="1">
            <x v="2"/>
          </reference>
        </references>
      </pivotArea>
    </format>
    <format dxfId="9484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2"/>
          </reference>
          <reference field="5" count="1" selected="0">
            <x v="28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>
            <x v="3"/>
          </reference>
        </references>
      </pivotArea>
    </format>
    <format dxfId="9485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3"/>
          </reference>
          <reference field="5" count="1" selected="0">
            <x v="48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5"/>
          </reference>
          <reference field="21" count="1">
            <x v="27"/>
          </reference>
        </references>
      </pivotArea>
    </format>
    <format dxfId="9486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37"/>
          </reference>
          <reference field="5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5"/>
          </reference>
          <reference field="21" count="1">
            <x v="24"/>
          </reference>
        </references>
      </pivotArea>
    </format>
    <format dxfId="9487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14"/>
          </reference>
          <reference field="5" count="1" selected="0">
            <x v="13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0"/>
          </reference>
          <reference field="21" count="1">
            <x v="18"/>
          </reference>
        </references>
      </pivotArea>
    </format>
    <format dxfId="9488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11"/>
          </reference>
          <reference field="5" count="1" selected="0">
            <x v="19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0"/>
          </reference>
          <reference field="21" count="1">
            <x v="26"/>
          </reference>
        </references>
      </pivotArea>
    </format>
    <format dxfId="9489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9"/>
          </reference>
          <reference field="5" count="1" selected="0">
            <x v="21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7"/>
          </reference>
          <reference field="21" count="1">
            <x v="0"/>
          </reference>
        </references>
      </pivotArea>
    </format>
    <format dxfId="9490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2"/>
          </reference>
          <reference field="5" count="1" selected="0">
            <x v="2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2"/>
          </reference>
          <reference field="21" count="1">
            <x v="23"/>
          </reference>
        </references>
      </pivotArea>
    </format>
    <format dxfId="9491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9"/>
          </reference>
          <reference field="5" count="1" selected="0">
            <x v="3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1"/>
          </reference>
          <reference field="21" count="1">
            <x v="25"/>
          </reference>
        </references>
      </pivotArea>
    </format>
    <format dxfId="9492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3"/>
          </reference>
          <reference field="5" count="1" selected="0">
            <x v="38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34"/>
          </reference>
          <reference field="21" count="1">
            <x v="19"/>
          </reference>
        </references>
      </pivotArea>
    </format>
    <format dxfId="9493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1"/>
          </reference>
          <reference field="5" count="1" selected="0">
            <x v="43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5"/>
          </reference>
          <reference field="21" count="1">
            <x v="23"/>
          </reference>
        </references>
      </pivotArea>
    </format>
    <format dxfId="9494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4"/>
          </reference>
          <reference field="5" count="1" selected="0">
            <x v="47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2"/>
          </reference>
          <reference field="21" count="1">
            <x v="24"/>
          </reference>
        </references>
      </pivotArea>
    </format>
    <format dxfId="9495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9"/>
          </reference>
          <reference field="5" count="1" selected="0">
            <x v="20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3"/>
          </reference>
          <reference field="21" count="1">
            <x v="15"/>
          </reference>
        </references>
      </pivotArea>
    </format>
    <format dxfId="9496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8"/>
          </reference>
          <reference field="5" count="1" selected="0">
            <x v="42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2"/>
          </reference>
          <reference field="21" count="1">
            <x v="11"/>
          </reference>
        </references>
      </pivotArea>
    </format>
    <format dxfId="9497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3" count="1" selected="0">
            <x v="38"/>
          </reference>
          <reference field="5" count="1" selected="0">
            <x v="3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7"/>
          </reference>
          <reference field="21" count="1">
            <x v="29"/>
          </reference>
        </references>
      </pivotArea>
    </format>
    <format dxfId="9498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3" count="1" selected="0">
            <x v="19"/>
          </reference>
          <reference field="5" count="1" selected="0">
            <x v="51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6"/>
          </reference>
          <reference field="21" count="1">
            <x v="35"/>
          </reference>
        </references>
      </pivotArea>
    </format>
    <format dxfId="9499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3" count="1" selected="0">
            <x v="20"/>
          </reference>
          <reference field="5" count="1" selected="0">
            <x v="33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7"/>
          </reference>
          <reference field="21" count="1">
            <x v="13"/>
          </reference>
        </references>
      </pivotArea>
    </format>
    <format dxfId="9500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7"/>
          </reference>
          <reference field="3" count="1" selected="0">
            <x v="30"/>
          </reference>
          <reference field="5" count="1" selected="0">
            <x v="17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6"/>
          </reference>
          <reference field="21" count="1">
            <x v="7"/>
          </reference>
        </references>
      </pivotArea>
    </format>
    <format dxfId="9501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7"/>
          </reference>
          <reference field="3" count="1" selected="0">
            <x v="39"/>
          </reference>
          <reference field="5" count="1" selected="0">
            <x v="41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"/>
          </reference>
          <reference field="21" count="1">
            <x v="33"/>
          </reference>
        </references>
      </pivotArea>
    </format>
    <format dxfId="9502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3" count="1" selected="0">
            <x v="18"/>
          </reference>
          <reference field="5" count="1" selected="0">
            <x v="35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8"/>
          </reference>
          <reference field="21" count="1">
            <x v="28"/>
          </reference>
        </references>
      </pivotArea>
    </format>
    <format dxfId="9503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3" count="1" selected="0">
            <x v="22"/>
          </reference>
          <reference field="5" count="1" selected="0">
            <x v="9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3"/>
          </reference>
          <reference field="21" count="1">
            <x v="17"/>
          </reference>
        </references>
      </pivotArea>
    </format>
    <format dxfId="9504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3" count="1" selected="0">
            <x v="21"/>
          </reference>
          <reference field="5" count="1" selected="0">
            <x v="27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1"/>
          </reference>
          <reference field="21" count="1">
            <x v="32"/>
          </reference>
        </references>
      </pivotArea>
    </format>
    <format dxfId="9505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3" count="1" selected="0">
            <x v="15"/>
          </reference>
          <reference field="5" count="1" selected="0">
            <x v="40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"/>
          </reference>
          <reference field="21" count="1">
            <x v="18"/>
          </reference>
        </references>
      </pivotArea>
    </format>
    <format dxfId="9506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3" count="1" selected="0">
            <x v="10"/>
          </reference>
          <reference field="5" count="1" selected="0">
            <x v="50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6"/>
          </reference>
          <reference field="21" count="1">
            <x v="34"/>
          </reference>
        </references>
      </pivotArea>
    </format>
    <format dxfId="9507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3" count="1" selected="0">
            <x v="17"/>
          </reference>
          <reference field="5" count="1" selected="0">
            <x v="31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6"/>
          </reference>
          <reference field="21" count="1">
            <x v="12"/>
          </reference>
        </references>
      </pivotArea>
    </format>
    <format dxfId="9508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3" count="1" selected="0">
            <x v="16"/>
          </reference>
          <reference field="5" count="1" selected="0">
            <x v="49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9"/>
          </reference>
          <reference field="21" count="1">
            <x v="22"/>
          </reference>
        </references>
      </pivotArea>
    </format>
    <format dxfId="9509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8"/>
          </reference>
          <reference field="3" count="1" selected="0">
            <x v="35"/>
          </reference>
          <reference field="5" count="1" selected="0">
            <x v="46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8"/>
          </reference>
          <reference field="21" count="1">
            <x v="29"/>
          </reference>
        </references>
      </pivotArea>
    </format>
    <format dxfId="9510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8"/>
          </reference>
          <reference field="3" count="1" selected="0">
            <x v="23"/>
          </reference>
          <reference field="5" count="1" selected="0">
            <x v="4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4"/>
          </reference>
          <reference field="21" count="1">
            <x v="17"/>
          </reference>
        </references>
      </pivotArea>
    </format>
    <format dxfId="9511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36"/>
          </reference>
          <reference field="5" count="1" selected="0">
            <x v="4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0"/>
          </reference>
          <reference field="21" count="1">
            <x v="36"/>
          </reference>
        </references>
      </pivotArea>
    </format>
    <format dxfId="9512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6"/>
          </reference>
          <reference field="5" count="1" selected="0">
            <x v="1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5"/>
          </reference>
          <reference field="21" count="1">
            <x v="26"/>
          </reference>
        </references>
      </pivotArea>
    </format>
    <format dxfId="9513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45"/>
          </reference>
          <reference field="5" count="1" selected="0">
            <x v="45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4"/>
          </reference>
          <reference field="21" count="1">
            <x v="21"/>
          </reference>
        </references>
      </pivotArea>
    </format>
    <format dxfId="9514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4"/>
          </reference>
          <reference field="3" count="1" selected="0">
            <x v="48"/>
          </reference>
          <reference field="5" count="1" selected="0">
            <x v="0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8"/>
          </reference>
          <reference field="21" count="1">
            <x v="20"/>
          </reference>
        </references>
      </pivotArea>
    </format>
    <format dxfId="9515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0"/>
          </reference>
          <reference field="3" count="1" selected="0">
            <x v="31"/>
          </reference>
          <reference field="5" count="1" selected="0">
            <x v="2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6"/>
          </reference>
          <reference field="21" count="1">
            <x v="5"/>
          </reference>
        </references>
      </pivotArea>
    </format>
    <format dxfId="9516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0"/>
          </reference>
          <reference field="3" count="1" selected="0">
            <x v="0"/>
          </reference>
          <reference field="5" count="1" selected="0">
            <x v="2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1"/>
          </reference>
          <reference field="21" count="1">
            <x v="30"/>
          </reference>
        </references>
      </pivotArea>
    </format>
    <format dxfId="9517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3" count="1" selected="0">
            <x v="8"/>
          </reference>
          <reference field="5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5"/>
          </reference>
          <reference field="21" count="1">
            <x v="9"/>
          </reference>
        </references>
      </pivotArea>
    </format>
    <format dxfId="9518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3" count="1" selected="0">
            <x v="41"/>
          </reference>
          <reference field="5" count="1" selected="0">
            <x v="5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0"/>
          </reference>
          <reference field="21" count="1">
            <x v="10"/>
          </reference>
        </references>
      </pivotArea>
    </format>
    <format dxfId="9519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3" count="1" selected="0">
            <x v="3"/>
          </reference>
          <reference field="5" count="1" selected="0">
            <x v="52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1"/>
          </reference>
          <reference field="21" count="1">
            <x v="37"/>
          </reference>
        </references>
      </pivotArea>
    </format>
    <format dxfId="9520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6"/>
          </reference>
          <reference field="3" count="1" selected="0">
            <x v="32"/>
          </reference>
          <reference field="5" count="1" selected="0">
            <x v="1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2"/>
          </reference>
          <reference field="21" count="1">
            <x v="16"/>
          </reference>
        </references>
      </pivotArea>
    </format>
    <format dxfId="9521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3" count="1" selected="0">
            <x v="1"/>
          </reference>
          <reference field="5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3"/>
          </reference>
          <reference field="21" count="1">
            <x v="7"/>
          </reference>
        </references>
      </pivotArea>
    </format>
    <format dxfId="9522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3" count="1" selected="0">
            <x v="34"/>
          </reference>
          <reference field="5" count="1" selected="0">
            <x v="29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9"/>
          </reference>
          <reference field="21" count="1">
            <x v="8"/>
          </reference>
        </references>
      </pivotArea>
    </format>
    <format dxfId="9523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3" count="1" selected="0">
            <x v="5"/>
          </reference>
          <reference field="5" count="1" selected="0">
            <x v="39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2"/>
          </reference>
          <reference field="21" count="1">
            <x v="7"/>
          </reference>
        </references>
      </pivotArea>
    </format>
    <format dxfId="9524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3" count="1" selected="0">
            <x v="25"/>
          </reference>
          <reference field="5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>
            <x v="5"/>
          </reference>
        </references>
      </pivotArea>
    </format>
    <format dxfId="9525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3" count="1" selected="0">
            <x v="12"/>
          </reference>
          <reference field="5" count="1" selected="0">
            <x v="6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0"/>
          </reference>
          <reference field="21" count="1">
            <x v="30"/>
          </reference>
        </references>
      </pivotArea>
    </format>
    <format dxfId="9526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3" count="1" selected="0">
            <x v="50"/>
          </reference>
          <reference field="5" count="1" selected="0">
            <x v="23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4"/>
          </reference>
          <reference field="21" count="1">
            <x v="29"/>
          </reference>
        </references>
      </pivotArea>
    </format>
    <format dxfId="9527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3" count="1" selected="0">
            <x v="27"/>
          </reference>
          <reference field="5" count="1" selected="0">
            <x v="7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36"/>
          </reference>
          <reference field="21" count="1">
            <x v="14"/>
          </reference>
        </references>
      </pivotArea>
    </format>
    <format dxfId="9528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11"/>
          </reference>
          <reference field="3" count="1" selected="0">
            <x v="13"/>
          </reference>
          <reference field="5" count="1" selected="0">
            <x v="30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>
            <x v="4"/>
          </reference>
        </references>
      </pivotArea>
    </format>
    <format dxfId="9529">
      <pivotArea dataOnly="0" labelOnly="1" outline="0" fieldPosition="0">
        <references count="8">
          <reference field="1" count="1" selected="0">
            <x v="16"/>
          </reference>
          <reference field="2" count="1" selected="0">
            <x v="13"/>
          </reference>
          <reference field="3" count="1" selected="0">
            <x v="7"/>
          </reference>
          <reference field="5" count="1" selected="0">
            <x v="1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3"/>
          </reference>
          <reference field="21" count="1">
            <x v="1"/>
          </reference>
        </references>
      </pivotArea>
    </format>
    <format dxfId="9530">
      <pivotArea dataOnly="0" labelOnly="1" outline="0" fieldPosition="0">
        <references count="8">
          <reference field="1" count="1" selected="0">
            <x v="16"/>
          </reference>
          <reference field="2" count="1" selected="0">
            <x v="13"/>
          </reference>
          <reference field="3" count="1" selected="0">
            <x v="46"/>
          </reference>
          <reference field="5" count="1" selected="0">
            <x v="14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>
            <x v="7"/>
          </reference>
        </references>
      </pivotArea>
    </format>
    <format dxfId="9531">
      <pivotArea dataOnly="0" labelOnly="1" outline="0" fieldPosition="0">
        <references count="9">
          <reference field="1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  <reference field="4" count="1">
            <x v="7"/>
          </reference>
          <reference field="5" count="1" selected="0">
            <x v="10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1"/>
          </reference>
          <reference field="21" count="1" selected="0">
            <x v="10"/>
          </reference>
        </references>
      </pivotArea>
    </format>
    <format dxfId="9532">
      <pivotArea dataOnly="0" labelOnly="1" outline="0" fieldPosition="0">
        <references count="9">
          <reference field="1" count="1" selected="0">
            <x v="1"/>
          </reference>
          <reference field="2" count="1" selected="0">
            <x v="1"/>
          </reference>
          <reference field="3" count="1" selected="0">
            <x v="33"/>
          </reference>
          <reference field="4" count="1">
            <x v="28"/>
          </reference>
          <reference field="5" count="1" selected="0">
            <x v="3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7"/>
          </reference>
          <reference field="21" count="1" selected="0">
            <x v="6"/>
          </reference>
        </references>
      </pivotArea>
    </format>
    <format dxfId="9533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0"/>
          </reference>
          <reference field="3" count="1" selected="0">
            <x v="40"/>
          </reference>
          <reference field="4" count="1">
            <x v="12"/>
          </reference>
          <reference field="5" count="1" selected="0">
            <x v="2"/>
          </reference>
          <reference field="8" count="1" selected="0">
            <x v="2"/>
          </reference>
          <reference field="12" count="1" selected="0">
            <x v="3"/>
          </reference>
          <reference field="16" count="1" selected="0">
            <x v="30"/>
          </reference>
          <reference field="21" count="1" selected="0">
            <x v="2"/>
          </reference>
        </references>
      </pivotArea>
    </format>
    <format dxfId="9534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7"/>
          </reference>
          <reference field="4" count="1">
            <x v="14"/>
          </reference>
          <reference field="5" count="1" selected="0">
            <x v="3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3"/>
          </reference>
        </references>
      </pivotArea>
    </format>
    <format dxfId="9535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"/>
          </reference>
          <reference field="4" count="1">
            <x v="17"/>
          </reference>
          <reference field="5" count="1" selected="0">
            <x v="2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1"/>
          </reference>
          <reference field="21" count="1" selected="0">
            <x v="2"/>
          </reference>
        </references>
      </pivotArea>
    </format>
    <format dxfId="9536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2"/>
          </reference>
          <reference field="4" count="1">
            <x v="24"/>
          </reference>
          <reference field="5" count="1" selected="0">
            <x v="28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3"/>
          </reference>
        </references>
      </pivotArea>
    </format>
    <format dxfId="9537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3"/>
          </reference>
          <reference field="4" count="1">
            <x v="43"/>
          </reference>
          <reference field="5" count="1" selected="0">
            <x v="48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5"/>
          </reference>
          <reference field="21" count="1" selected="0">
            <x v="27"/>
          </reference>
        </references>
      </pivotArea>
    </format>
    <format dxfId="9538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37"/>
          </reference>
          <reference field="4" count="1">
            <x v="20"/>
          </reference>
          <reference field="5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5"/>
          </reference>
          <reference field="21" count="1" selected="0">
            <x v="24"/>
          </reference>
        </references>
      </pivotArea>
    </format>
    <format dxfId="9539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14"/>
          </reference>
          <reference field="4" count="1">
            <x v="19"/>
          </reference>
          <reference field="5" count="1" selected="0">
            <x v="13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0"/>
          </reference>
          <reference field="21" count="1" selected="0">
            <x v="18"/>
          </reference>
        </references>
      </pivotArea>
    </format>
    <format dxfId="9540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11"/>
          </reference>
          <reference field="4" count="1">
            <x v="16"/>
          </reference>
          <reference field="5" count="1" selected="0">
            <x v="19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0"/>
          </reference>
          <reference field="21" count="1" selected="0">
            <x v="26"/>
          </reference>
        </references>
      </pivotArea>
    </format>
    <format dxfId="9541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9"/>
          </reference>
          <reference field="4" count="1">
            <x v="19"/>
          </reference>
          <reference field="5" count="1" selected="0">
            <x v="21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7"/>
          </reference>
          <reference field="21" count="1" selected="0">
            <x v="0"/>
          </reference>
        </references>
      </pivotArea>
    </format>
    <format dxfId="9542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2"/>
          </reference>
          <reference field="4" count="1">
            <x v="15"/>
          </reference>
          <reference field="5" count="1" selected="0">
            <x v="2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2"/>
          </reference>
          <reference field="21" count="1" selected="0">
            <x v="23"/>
          </reference>
        </references>
      </pivotArea>
    </format>
    <format dxfId="9543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9"/>
          </reference>
          <reference field="4" count="1">
            <x v="31"/>
          </reference>
          <reference field="5" count="1" selected="0">
            <x v="3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1"/>
          </reference>
          <reference field="21" count="1" selected="0">
            <x v="25"/>
          </reference>
        </references>
      </pivotArea>
    </format>
    <format dxfId="9544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3"/>
          </reference>
          <reference field="4" count="1">
            <x v="12"/>
          </reference>
          <reference field="5" count="1" selected="0">
            <x v="38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34"/>
          </reference>
          <reference field="21" count="1" selected="0">
            <x v="19"/>
          </reference>
        </references>
      </pivotArea>
    </format>
    <format dxfId="9545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51"/>
          </reference>
          <reference field="4" count="1">
            <x v="34"/>
          </reference>
          <reference field="5" count="1" selected="0">
            <x v="43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5"/>
          </reference>
          <reference field="21" count="1" selected="0">
            <x v="23"/>
          </reference>
        </references>
      </pivotArea>
    </format>
    <format dxfId="9546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44"/>
          </reference>
          <reference field="4" count="1">
            <x v="40"/>
          </reference>
          <reference field="5" count="1" selected="0">
            <x v="47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2"/>
          </reference>
          <reference field="21" count="1" selected="0">
            <x v="24"/>
          </reference>
        </references>
      </pivotArea>
    </format>
    <format dxfId="9547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9"/>
          </reference>
          <reference field="4" count="1">
            <x v="18"/>
          </reference>
          <reference field="5" count="1" selected="0">
            <x v="20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3"/>
          </reference>
          <reference field="21" count="1" selected="0">
            <x v="15"/>
          </reference>
        </references>
      </pivotArea>
    </format>
    <format dxfId="9548">
      <pivotArea dataOnly="0" labelOnly="1" outline="0" fieldPosition="0">
        <references count="9">
          <reference field="1" count="1" selected="0">
            <x v="3"/>
          </reference>
          <reference field="2" count="1" selected="0">
            <x v="15"/>
          </reference>
          <reference field="3" count="1" selected="0">
            <x v="28"/>
          </reference>
          <reference field="4" count="1">
            <x v="35"/>
          </reference>
          <reference field="5" count="1" selected="0">
            <x v="42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2"/>
          </reference>
          <reference field="21" count="1" selected="0">
            <x v="11"/>
          </reference>
        </references>
      </pivotArea>
    </format>
    <format dxfId="9549">
      <pivotArea dataOnly="0" labelOnly="1" outline="0" fieldPosition="0">
        <references count="9">
          <reference field="1" count="1" selected="0">
            <x v="4"/>
          </reference>
          <reference field="2" count="1" selected="0">
            <x v="3"/>
          </reference>
          <reference field="3" count="1" selected="0">
            <x v="38"/>
          </reference>
          <reference field="4" count="1">
            <x v="0"/>
          </reference>
          <reference field="5" count="1" selected="0">
            <x v="3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7"/>
          </reference>
          <reference field="21" count="1" selected="0">
            <x v="29"/>
          </reference>
        </references>
      </pivotArea>
    </format>
    <format dxfId="9550">
      <pivotArea dataOnly="0" labelOnly="1" outline="0" fieldPosition="0">
        <references count="9">
          <reference field="1" count="1" selected="0">
            <x v="4"/>
          </reference>
          <reference field="2" count="1" selected="0">
            <x v="3"/>
          </reference>
          <reference field="3" count="1" selected="0">
            <x v="19"/>
          </reference>
          <reference field="4" count="1">
            <x v="47"/>
          </reference>
          <reference field="5" count="1" selected="0">
            <x v="51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6"/>
          </reference>
          <reference field="21" count="1" selected="0">
            <x v="35"/>
          </reference>
        </references>
      </pivotArea>
    </format>
    <format dxfId="9551">
      <pivotArea dataOnly="0" labelOnly="1" outline="0" fieldPosition="0">
        <references count="9">
          <reference field="1" count="1" selected="0">
            <x v="4"/>
          </reference>
          <reference field="2" count="1" selected="0">
            <x v="3"/>
          </reference>
          <reference field="3" count="1" selected="0">
            <x v="20"/>
          </reference>
          <reference field="4" count="1">
            <x v="30"/>
          </reference>
          <reference field="5" count="1" selected="0">
            <x v="33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7"/>
          </reference>
          <reference field="21" count="1" selected="0">
            <x v="13"/>
          </reference>
        </references>
      </pivotArea>
    </format>
    <format dxfId="9552">
      <pivotArea dataOnly="0" labelOnly="1" outline="0" fieldPosition="0">
        <references count="9">
          <reference field="1" count="1" selected="0">
            <x v="4"/>
          </reference>
          <reference field="2" count="1" selected="0">
            <x v="7"/>
          </reference>
          <reference field="3" count="1" selected="0">
            <x v="30"/>
          </reference>
          <reference field="4" count="1">
            <x v="4"/>
          </reference>
          <reference field="5" count="1" selected="0">
            <x v="17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6"/>
          </reference>
          <reference field="21" count="1" selected="0">
            <x v="7"/>
          </reference>
        </references>
      </pivotArea>
    </format>
    <format dxfId="9553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2"/>
          </reference>
          <reference field="3" count="1" selected="0">
            <x v="18"/>
          </reference>
          <reference field="4" count="1">
            <x v="29"/>
          </reference>
          <reference field="5" count="1" selected="0">
            <x v="35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8"/>
          </reference>
          <reference field="21" count="1" selected="0">
            <x v="28"/>
          </reference>
        </references>
      </pivotArea>
    </format>
    <format dxfId="9554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2"/>
          </reference>
          <reference field="3" count="1" selected="0">
            <x v="22"/>
          </reference>
          <reference field="4" count="1">
            <x v="6"/>
          </reference>
          <reference field="5" count="1" selected="0">
            <x v="9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3"/>
          </reference>
          <reference field="21" count="1" selected="0">
            <x v="17"/>
          </reference>
        </references>
      </pivotArea>
    </format>
    <format dxfId="9555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2"/>
          </reference>
          <reference field="3" count="1" selected="0">
            <x v="21"/>
          </reference>
          <reference field="4" count="1">
            <x v="21"/>
          </reference>
          <reference field="5" count="1" selected="0">
            <x v="27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1"/>
          </reference>
          <reference field="21" count="1" selected="0">
            <x v="32"/>
          </reference>
        </references>
      </pivotArea>
    </format>
    <format dxfId="9556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2"/>
          </reference>
          <reference field="3" count="1" selected="0">
            <x v="15"/>
          </reference>
          <reference field="4" count="1">
            <x v="32"/>
          </reference>
          <reference field="5" count="1" selected="0">
            <x v="40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"/>
          </reference>
          <reference field="21" count="1" selected="0">
            <x v="18"/>
          </reference>
        </references>
      </pivotArea>
    </format>
    <format dxfId="9557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2"/>
          </reference>
          <reference field="3" count="1" selected="0">
            <x v="10"/>
          </reference>
          <reference field="4" count="1">
            <x v="46"/>
          </reference>
          <reference field="5" count="1" selected="0">
            <x v="50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6"/>
          </reference>
          <reference field="21" count="1" selected="0">
            <x v="34"/>
          </reference>
        </references>
      </pivotArea>
    </format>
    <format dxfId="9558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2"/>
          </reference>
          <reference field="3" count="1" selected="0">
            <x v="17"/>
          </reference>
          <reference field="4" count="1">
            <x v="27"/>
          </reference>
          <reference field="5" count="1" selected="0">
            <x v="31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6"/>
          </reference>
          <reference field="21" count="1" selected="0">
            <x v="12"/>
          </reference>
        </references>
      </pivotArea>
    </format>
    <format dxfId="9559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2"/>
          </reference>
          <reference field="3" count="1" selected="0">
            <x v="16"/>
          </reference>
          <reference field="4" count="1">
            <x v="42"/>
          </reference>
          <reference field="5" count="1" selected="0">
            <x v="49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9"/>
          </reference>
          <reference field="21" count="1" selected="0">
            <x v="22"/>
          </reference>
        </references>
      </pivotArea>
    </format>
    <format dxfId="9560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8"/>
          </reference>
          <reference field="3" count="1" selected="0">
            <x v="35"/>
          </reference>
          <reference field="4" count="1">
            <x v="41"/>
          </reference>
          <reference field="5" count="1" selected="0">
            <x v="46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8"/>
          </reference>
          <reference field="21" count="1" selected="0">
            <x v="29"/>
          </reference>
        </references>
      </pivotArea>
    </format>
    <format dxfId="9561">
      <pivotArea dataOnly="0" labelOnly="1" outline="0" fieldPosition="0">
        <references count="9">
          <reference field="1" count="1" selected="0">
            <x v="9"/>
          </reference>
          <reference field="2" count="1" selected="0">
            <x v="8"/>
          </reference>
          <reference field="3" count="1" selected="0">
            <x v="23"/>
          </reference>
          <reference field="4" count="1">
            <x v="2"/>
          </reference>
          <reference field="5" count="1" selected="0">
            <x v="4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4"/>
          </reference>
          <reference field="21" count="1" selected="0">
            <x v="17"/>
          </reference>
        </references>
      </pivotArea>
    </format>
    <format dxfId="9562">
      <pivotArea dataOnly="0" labelOnly="1" outline="0" fieldPosition="0">
        <references count="9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36"/>
          </reference>
          <reference field="4" count="1">
            <x v="36"/>
          </reference>
          <reference field="5" count="1" selected="0">
            <x v="4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0"/>
          </reference>
          <reference field="21" count="1" selected="0">
            <x v="36"/>
          </reference>
        </references>
      </pivotArea>
    </format>
    <format dxfId="9563">
      <pivotArea dataOnly="0" labelOnly="1" outline="0" fieldPosition="0">
        <references count="9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6"/>
          </reference>
          <reference field="4" count="1">
            <x v="11"/>
          </reference>
          <reference field="5" count="1" selected="0">
            <x v="1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5"/>
          </reference>
          <reference field="21" count="1" selected="0">
            <x v="26"/>
          </reference>
        </references>
      </pivotArea>
    </format>
    <format dxfId="9564">
      <pivotArea dataOnly="0" labelOnly="1" outline="0" fieldPosition="0">
        <references count="9">
          <reference field="1" count="1" selected="0">
            <x v="10"/>
          </reference>
          <reference field="2" count="1" selected="0">
            <x v="12"/>
          </reference>
          <reference field="3" count="1" selected="0">
            <x v="45"/>
          </reference>
          <reference field="4" count="1">
            <x v="38"/>
          </reference>
          <reference field="5" count="1" selected="0">
            <x v="45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4"/>
          </reference>
          <reference field="21" count="1" selected="0">
            <x v="21"/>
          </reference>
        </references>
      </pivotArea>
    </format>
    <format dxfId="9565">
      <pivotArea dataOnly="0" labelOnly="1" outline="0" fieldPosition="0">
        <references count="9">
          <reference field="1" count="1" selected="0">
            <x v="10"/>
          </reference>
          <reference field="2" count="1" selected="0">
            <x v="14"/>
          </reference>
          <reference field="3" count="1" selected="0">
            <x v="48"/>
          </reference>
          <reference field="4" count="1">
            <x v="1"/>
          </reference>
          <reference field="5" count="1" selected="0">
            <x v="0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8"/>
          </reference>
          <reference field="21" count="1" selected="0">
            <x v="20"/>
          </reference>
        </references>
      </pivotArea>
    </format>
    <format dxfId="9566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0"/>
          </reference>
          <reference field="3" count="1" selected="0">
            <x v="31"/>
          </reference>
          <reference field="4" count="1">
            <x v="22"/>
          </reference>
          <reference field="5" count="1" selected="0">
            <x v="2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6"/>
          </reference>
          <reference field="21" count="1" selected="0">
            <x v="5"/>
          </reference>
        </references>
      </pivotArea>
    </format>
    <format dxfId="9567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0"/>
          </reference>
          <reference field="3" count="1" selected="0">
            <x v="24"/>
          </reference>
          <reference field="4" count="1">
            <x v="26"/>
          </reference>
          <reference field="5" count="1" selected="0">
            <x v="37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6"/>
          </reference>
          <reference field="21" count="1" selected="0">
            <x v="5"/>
          </reference>
        </references>
      </pivotArea>
    </format>
    <format dxfId="9568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37"/>
          </reference>
          <reference field="5" count="1" selected="0">
            <x v="2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1"/>
          </reference>
          <reference field="21" count="1" selected="0">
            <x v="30"/>
          </reference>
        </references>
      </pivotArea>
    </format>
    <format dxfId="9569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5"/>
          </reference>
          <reference field="3" count="1" selected="0">
            <x v="8"/>
          </reference>
          <reference field="4" count="1">
            <x v="39"/>
          </reference>
          <reference field="5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5"/>
          </reference>
          <reference field="21" count="1" selected="0">
            <x v="9"/>
          </reference>
        </references>
      </pivotArea>
    </format>
    <format dxfId="9570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5"/>
          </reference>
          <reference field="3" count="1" selected="0">
            <x v="41"/>
          </reference>
          <reference field="4" count="1">
            <x v="48"/>
          </reference>
          <reference field="5" count="1" selected="0">
            <x v="5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0"/>
          </reference>
          <reference field="21" count="1" selected="0">
            <x v="10"/>
          </reference>
        </references>
      </pivotArea>
    </format>
    <format dxfId="9571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6"/>
          </reference>
          <reference field="3" count="1" selected="0">
            <x v="32"/>
          </reference>
          <reference field="4" count="1">
            <x v="3"/>
          </reference>
          <reference field="5" count="1" selected="0">
            <x v="1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2"/>
          </reference>
          <reference field="21" count="1" selected="0">
            <x v="16"/>
          </reference>
        </references>
      </pivotArea>
    </format>
    <format dxfId="9572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9"/>
          </reference>
          <reference field="3" count="1" selected="0">
            <x v="1"/>
          </reference>
          <reference field="4" count="1">
            <x v="10"/>
          </reference>
          <reference field="5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3"/>
          </reference>
          <reference field="21" count="1" selected="0">
            <x v="7"/>
          </reference>
        </references>
      </pivotArea>
    </format>
    <format dxfId="9573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9"/>
          </reference>
          <reference field="3" count="1" selected="0">
            <x v="34"/>
          </reference>
          <reference field="4" count="1">
            <x v="23"/>
          </reference>
          <reference field="5" count="1" selected="0">
            <x v="29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9"/>
          </reference>
          <reference field="21" count="1" selected="0">
            <x v="8"/>
          </reference>
        </references>
      </pivotArea>
    </format>
    <format dxfId="9574">
      <pivotArea dataOnly="0" labelOnly="1" outline="0" fieldPosition="0">
        <references count="9">
          <reference field="1" count="1" selected="0">
            <x v="12"/>
          </reference>
          <reference field="2" count="1" selected="0">
            <x v="9"/>
          </reference>
          <reference field="3" count="1" selected="0">
            <x v="5"/>
          </reference>
          <reference field="4" count="1">
            <x v="33"/>
          </reference>
          <reference field="5" count="1" selected="0">
            <x v="39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2"/>
          </reference>
          <reference field="21" count="1" selected="0">
            <x v="7"/>
          </reference>
        </references>
      </pivotArea>
    </format>
    <format dxfId="9575">
      <pivotArea dataOnly="0" labelOnly="1" outline="0" fieldPosition="0">
        <references count="9">
          <reference field="1" count="1" selected="0">
            <x v="14"/>
          </reference>
          <reference field="2" count="1" selected="0">
            <x v="4"/>
          </reference>
          <reference field="3" count="1" selected="0">
            <x v="25"/>
          </reference>
          <reference field="4" count="1">
            <x v="8"/>
          </reference>
          <reference field="5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5"/>
          </reference>
        </references>
      </pivotArea>
    </format>
    <format dxfId="9576">
      <pivotArea dataOnly="0" labelOnly="1" outline="0" fieldPosition="0">
        <references count="9">
          <reference field="1" count="1" selected="0">
            <x v="14"/>
          </reference>
          <reference field="2" count="1" selected="0">
            <x v="4"/>
          </reference>
          <reference field="3" count="1" selected="0">
            <x v="12"/>
          </reference>
          <reference field="4" count="1">
            <x v="13"/>
          </reference>
          <reference field="5" count="1" selected="0">
            <x v="6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0"/>
          </reference>
          <reference field="21" count="1" selected="0">
            <x v="30"/>
          </reference>
        </references>
      </pivotArea>
    </format>
    <format dxfId="9577">
      <pivotArea dataOnly="0" labelOnly="1" outline="0" fieldPosition="0">
        <references count="9">
          <reference field="1" count="1" selected="0">
            <x v="14"/>
          </reference>
          <reference field="2" count="1" selected="0">
            <x v="4"/>
          </reference>
          <reference field="3" count="1" selected="0">
            <x v="50"/>
          </reference>
          <reference field="4" count="1">
            <x v="44"/>
          </reference>
          <reference field="5" count="1" selected="0">
            <x v="23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4"/>
          </reference>
          <reference field="21" count="1" selected="0">
            <x v="29"/>
          </reference>
        </references>
      </pivotArea>
    </format>
    <format dxfId="9578">
      <pivotArea dataOnly="0" labelOnly="1" outline="0" fieldPosition="0">
        <references count="9">
          <reference field="1" count="1" selected="0">
            <x v="14"/>
          </reference>
          <reference field="2" count="1" selected="0">
            <x v="4"/>
          </reference>
          <reference field="3" count="1" selected="0">
            <x v="27"/>
          </reference>
          <reference field="4" count="1">
            <x v="5"/>
          </reference>
          <reference field="5" count="1" selected="0">
            <x v="7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36"/>
          </reference>
          <reference field="21" count="1" selected="0">
            <x v="14"/>
          </reference>
        </references>
      </pivotArea>
    </format>
    <format dxfId="9579">
      <pivotArea dataOnly="0" labelOnly="1" outline="0" fieldPosition="0">
        <references count="9">
          <reference field="1" count="1" selected="0">
            <x v="14"/>
          </reference>
          <reference field="2" count="1" selected="0">
            <x v="11"/>
          </reference>
          <reference field="3" count="1" selected="0">
            <x v="13"/>
          </reference>
          <reference field="4" count="1">
            <x v="25"/>
          </reference>
          <reference field="5" count="1" selected="0">
            <x v="30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4"/>
          </reference>
        </references>
      </pivotArea>
    </format>
    <format dxfId="9580">
      <pivotArea dataOnly="0" labelOnly="1" outline="0" fieldPosition="0">
        <references count="9">
          <reference field="1" count="1" selected="0">
            <x v="16"/>
          </reference>
          <reference field="2" count="1" selected="0">
            <x v="13"/>
          </reference>
          <reference field="3" count="1" selected="0">
            <x v="7"/>
          </reference>
          <reference field="4" count="1">
            <x v="45"/>
          </reference>
          <reference field="5" count="1" selected="0">
            <x v="1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3"/>
          </reference>
          <reference field="21" count="1" selected="0">
            <x v="1"/>
          </reference>
        </references>
      </pivotArea>
    </format>
    <format dxfId="9581">
      <pivotArea dataOnly="0" labelOnly="1" outline="0" fieldPosition="0">
        <references count="9">
          <reference field="1" count="1" selected="0">
            <x v="16"/>
          </reference>
          <reference field="2" count="1" selected="0">
            <x v="13"/>
          </reference>
          <reference field="3" count="1" selected="0">
            <x v="46"/>
          </reference>
          <reference field="4" count="1">
            <x v="9"/>
          </reference>
          <reference field="5" count="1" selected="0">
            <x v="14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7"/>
          </reference>
        </references>
      </pivotArea>
    </format>
    <format dxfId="9582">
      <pivotArea dataOnly="0" labelOnly="1" outline="0" fieldPosition="0">
        <references count="10">
          <reference field="0" count="1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  <reference field="4" count="1" selected="0">
            <x v="7"/>
          </reference>
          <reference field="5" count="1" selected="0">
            <x v="10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1"/>
          </reference>
          <reference field="21" count="1" selected="0">
            <x v="10"/>
          </reference>
        </references>
      </pivotArea>
    </format>
    <format dxfId="9583">
      <pivotArea dataOnly="0" labelOnly="1" outline="0" fieldPosition="0">
        <references count="10">
          <reference field="0" count="1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3"/>
          </reference>
          <reference field="4" count="1" selected="0">
            <x v="28"/>
          </reference>
          <reference field="5" count="1" selected="0">
            <x v="3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7"/>
          </reference>
          <reference field="21" count="1" selected="0">
            <x v="6"/>
          </reference>
        </references>
      </pivotArea>
    </format>
    <format dxfId="9584">
      <pivotArea dataOnly="0" labelOnly="1" outline="0" fieldPosition="0">
        <references count="10">
          <reference field="0" count="1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26"/>
          </reference>
          <reference field="4" count="1" selected="0">
            <x v="28"/>
          </reference>
          <reference field="5" count="1" selected="0">
            <x v="18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0"/>
          </reference>
          <reference field="21" count="1" selected="0">
            <x v="31"/>
          </reference>
        </references>
      </pivotArea>
    </format>
    <format dxfId="9585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0"/>
          </reference>
          <reference field="3" count="1" selected="0">
            <x v="40"/>
          </reference>
          <reference field="4" count="1" selected="0">
            <x v="12"/>
          </reference>
          <reference field="5" count="1" selected="0">
            <x v="2"/>
          </reference>
          <reference field="8" count="1" selected="0">
            <x v="2"/>
          </reference>
          <reference field="12" count="1" selected="0">
            <x v="3"/>
          </reference>
          <reference field="16" count="1" selected="0">
            <x v="30"/>
          </reference>
          <reference field="21" count="1" selected="0">
            <x v="2"/>
          </reference>
        </references>
      </pivotArea>
    </format>
    <format dxfId="9586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47"/>
          </reference>
          <reference field="4" count="1" selected="0">
            <x v="14"/>
          </reference>
          <reference field="5" count="1" selected="0">
            <x v="3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3"/>
          </reference>
        </references>
      </pivotArea>
    </format>
    <format dxfId="9587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2"/>
          </reference>
          <reference field="4" count="1" selected="0">
            <x v="17"/>
          </reference>
          <reference field="5" count="1" selected="0">
            <x v="2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1"/>
          </reference>
          <reference field="21" count="1" selected="0">
            <x v="2"/>
          </reference>
        </references>
      </pivotArea>
    </format>
    <format dxfId="9588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52"/>
          </reference>
          <reference field="4" count="1" selected="0">
            <x v="24"/>
          </reference>
          <reference field="5" count="1" selected="0">
            <x v="28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3"/>
          </reference>
        </references>
      </pivotArea>
    </format>
    <format dxfId="9589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43"/>
          </reference>
          <reference field="4" count="1" selected="0">
            <x v="43"/>
          </reference>
          <reference field="5" count="1" selected="0">
            <x v="48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5"/>
          </reference>
          <reference field="21" count="1" selected="0">
            <x v="27"/>
          </reference>
        </references>
      </pivotArea>
    </format>
    <format dxfId="9590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7"/>
          </reference>
          <reference field="4" count="1" selected="0">
            <x v="20"/>
          </reference>
          <reference field="5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5"/>
          </reference>
          <reference field="21" count="1" selected="0">
            <x v="24"/>
          </reference>
        </references>
      </pivotArea>
    </format>
    <format dxfId="9591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14"/>
          </reference>
          <reference field="4" count="1" selected="0">
            <x v="19"/>
          </reference>
          <reference field="5" count="1" selected="0">
            <x v="13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0"/>
          </reference>
          <reference field="21" count="1" selected="0">
            <x v="18"/>
          </reference>
        </references>
      </pivotArea>
    </format>
    <format dxfId="9592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11"/>
          </reference>
          <reference field="4" count="1" selected="0">
            <x v="16"/>
          </reference>
          <reference field="5" count="1" selected="0">
            <x v="19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0"/>
          </reference>
          <reference field="21" count="1" selected="0">
            <x v="26"/>
          </reference>
        </references>
      </pivotArea>
    </format>
    <format dxfId="9593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9"/>
          </reference>
          <reference field="4" count="1" selected="0">
            <x v="19"/>
          </reference>
          <reference field="5" count="1" selected="0">
            <x v="21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7"/>
          </reference>
          <reference field="21" count="1" selected="0">
            <x v="0"/>
          </reference>
        </references>
      </pivotArea>
    </format>
    <format dxfId="9594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42"/>
          </reference>
          <reference field="4" count="1" selected="0">
            <x v="15"/>
          </reference>
          <reference field="5" count="1" selected="0">
            <x v="2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2"/>
          </reference>
          <reference field="21" count="1" selected="0">
            <x v="23"/>
          </reference>
        </references>
      </pivotArea>
    </format>
    <format dxfId="9595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49"/>
          </reference>
          <reference field="4" count="1" selected="0">
            <x v="31"/>
          </reference>
          <reference field="5" count="1" selected="0">
            <x v="3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1"/>
          </reference>
          <reference field="21" count="1" selected="0">
            <x v="25"/>
          </reference>
        </references>
      </pivotArea>
    </format>
    <format dxfId="9596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53"/>
          </reference>
          <reference field="4" count="1" selected="0">
            <x v="12"/>
          </reference>
          <reference field="5" count="1" selected="0">
            <x v="38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34"/>
          </reference>
          <reference field="21" count="1" selected="0">
            <x v="19"/>
          </reference>
        </references>
      </pivotArea>
    </format>
    <format dxfId="9597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51"/>
          </reference>
          <reference field="4" count="1" selected="0">
            <x v="34"/>
          </reference>
          <reference field="5" count="1" selected="0">
            <x v="43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5"/>
          </reference>
          <reference field="21" count="1" selected="0">
            <x v="23"/>
          </reference>
        </references>
      </pivotArea>
    </format>
    <format dxfId="9598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44"/>
          </reference>
          <reference field="4" count="1" selected="0">
            <x v="40"/>
          </reference>
          <reference field="5" count="1" selected="0">
            <x v="47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2"/>
          </reference>
          <reference field="21" count="1" selected="0">
            <x v="24"/>
          </reference>
        </references>
      </pivotArea>
    </format>
    <format dxfId="9599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29"/>
          </reference>
          <reference field="4" count="1" selected="0">
            <x v="18"/>
          </reference>
          <reference field="5" count="1" selected="0">
            <x v="20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3"/>
          </reference>
          <reference field="21" count="1" selected="0">
            <x v="15"/>
          </reference>
        </references>
      </pivotArea>
    </format>
    <format dxfId="9600">
      <pivotArea dataOnly="0" labelOnly="1" outline="0" fieldPosition="0">
        <references count="10">
          <reference field="0" count="1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28"/>
          </reference>
          <reference field="4" count="1" selected="0">
            <x v="35"/>
          </reference>
          <reference field="5" count="1" selected="0">
            <x v="42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2"/>
          </reference>
          <reference field="21" count="1" selected="0">
            <x v="11"/>
          </reference>
        </references>
      </pivotArea>
    </format>
    <format dxfId="9601">
      <pivotArea dataOnly="0" labelOnly="1" outline="0" fieldPosition="0">
        <references count="10">
          <reference field="0" count="1">
            <x v="1"/>
          </reference>
          <reference field="1" count="1" selected="0">
            <x v="4"/>
          </reference>
          <reference field="2" count="1" selected="0">
            <x v="3"/>
          </reference>
          <reference field="3" count="1" selected="0">
            <x v="38"/>
          </reference>
          <reference field="4" count="1" selected="0">
            <x v="0"/>
          </reference>
          <reference field="5" count="1" selected="0">
            <x v="3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7"/>
          </reference>
          <reference field="21" count="1" selected="0">
            <x v="29"/>
          </reference>
        </references>
      </pivotArea>
    </format>
    <format dxfId="9602">
      <pivotArea dataOnly="0" labelOnly="1" outline="0" fieldPosition="0">
        <references count="10">
          <reference field="0" count="1">
            <x v="1"/>
          </reference>
          <reference field="1" count="1" selected="0">
            <x v="4"/>
          </reference>
          <reference field="2" count="1" selected="0">
            <x v="3"/>
          </reference>
          <reference field="3" count="1" selected="0">
            <x v="19"/>
          </reference>
          <reference field="4" count="1" selected="0">
            <x v="47"/>
          </reference>
          <reference field="5" count="1" selected="0">
            <x v="51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6"/>
          </reference>
          <reference field="21" count="1" selected="0">
            <x v="35"/>
          </reference>
        </references>
      </pivotArea>
    </format>
    <format dxfId="9603">
      <pivotArea dataOnly="0" labelOnly="1" outline="0" fieldPosition="0">
        <references count="10">
          <reference field="0" count="1">
            <x v="1"/>
          </reference>
          <reference field="1" count="1" selected="0">
            <x v="4"/>
          </reference>
          <reference field="2" count="1" selected="0">
            <x v="3"/>
          </reference>
          <reference field="3" count="1" selected="0">
            <x v="20"/>
          </reference>
          <reference field="4" count="1" selected="0">
            <x v="30"/>
          </reference>
          <reference field="5" count="1" selected="0">
            <x v="33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7"/>
          </reference>
          <reference field="21" count="1" selected="0">
            <x v="13"/>
          </reference>
        </references>
      </pivotArea>
    </format>
    <format dxfId="9604">
      <pivotArea dataOnly="0" labelOnly="1" outline="0" fieldPosition="0">
        <references count="10">
          <reference field="0" count="1">
            <x v="0"/>
          </reference>
          <reference field="1" count="1" selected="0">
            <x v="4"/>
          </reference>
          <reference field="2" count="1" selected="0">
            <x v="7"/>
          </reference>
          <reference field="3" count="1" selected="0">
            <x v="30"/>
          </reference>
          <reference field="4" count="1" selected="0">
            <x v="4"/>
          </reference>
          <reference field="5" count="1" selected="0">
            <x v="17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6"/>
          </reference>
          <reference field="21" count="1" selected="0">
            <x v="7"/>
          </reference>
        </references>
      </pivotArea>
    </format>
    <format dxfId="9605">
      <pivotArea dataOnly="0" labelOnly="1" outline="0" fieldPosition="0">
        <references count="10">
          <reference field="0" count="1">
            <x v="0"/>
          </reference>
          <reference field="1" count="1" selected="0">
            <x v="4"/>
          </reference>
          <reference field="2" count="1" selected="0">
            <x v="7"/>
          </reference>
          <reference field="3" count="1" selected="0">
            <x v="39"/>
          </reference>
          <reference field="4" count="1" selected="0">
            <x v="4"/>
          </reference>
          <reference field="5" count="1" selected="0">
            <x v="41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"/>
          </reference>
          <reference field="21" count="1" selected="0">
            <x v="33"/>
          </reference>
        </references>
      </pivotArea>
    </format>
    <format dxfId="9606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2"/>
          </reference>
          <reference field="3" count="1" selected="0">
            <x v="18"/>
          </reference>
          <reference field="4" count="1" selected="0">
            <x v="29"/>
          </reference>
          <reference field="5" count="1" selected="0">
            <x v="35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8"/>
          </reference>
          <reference field="21" count="1" selected="0">
            <x v="28"/>
          </reference>
        </references>
      </pivotArea>
    </format>
    <format dxfId="9607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2"/>
          </reference>
          <reference field="3" count="1" selected="0">
            <x v="22"/>
          </reference>
          <reference field="4" count="1" selected="0">
            <x v="6"/>
          </reference>
          <reference field="5" count="1" selected="0">
            <x v="9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3"/>
          </reference>
          <reference field="21" count="1" selected="0">
            <x v="17"/>
          </reference>
        </references>
      </pivotArea>
    </format>
    <format dxfId="9608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2"/>
          </reference>
          <reference field="3" count="1" selected="0">
            <x v="21"/>
          </reference>
          <reference field="4" count="1" selected="0">
            <x v="21"/>
          </reference>
          <reference field="5" count="1" selected="0">
            <x v="27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1"/>
          </reference>
          <reference field="21" count="1" selected="0">
            <x v="32"/>
          </reference>
        </references>
      </pivotArea>
    </format>
    <format dxfId="9609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2"/>
          </reference>
          <reference field="3" count="1" selected="0">
            <x v="15"/>
          </reference>
          <reference field="4" count="1" selected="0">
            <x v="32"/>
          </reference>
          <reference field="5" count="1" selected="0">
            <x v="40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1"/>
          </reference>
          <reference field="21" count="1" selected="0">
            <x v="18"/>
          </reference>
        </references>
      </pivotArea>
    </format>
    <format dxfId="9610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2"/>
          </reference>
          <reference field="3" count="1" selected="0">
            <x v="10"/>
          </reference>
          <reference field="4" count="1" selected="0">
            <x v="46"/>
          </reference>
          <reference field="5" count="1" selected="0">
            <x v="50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26"/>
          </reference>
          <reference field="21" count="1" selected="0">
            <x v="34"/>
          </reference>
        </references>
      </pivotArea>
    </format>
    <format dxfId="9611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2"/>
          </reference>
          <reference field="3" count="1" selected="0">
            <x v="17"/>
          </reference>
          <reference field="4" count="1" selected="0">
            <x v="27"/>
          </reference>
          <reference field="5" count="1" selected="0">
            <x v="31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6"/>
          </reference>
          <reference field="21" count="1" selected="0">
            <x v="12"/>
          </reference>
        </references>
      </pivotArea>
    </format>
    <format dxfId="9612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2"/>
          </reference>
          <reference field="3" count="1" selected="0">
            <x v="16"/>
          </reference>
          <reference field="4" count="1" selected="0">
            <x v="42"/>
          </reference>
          <reference field="5" count="1" selected="0">
            <x v="49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9"/>
          </reference>
          <reference field="21" count="1" selected="0">
            <x v="22"/>
          </reference>
        </references>
      </pivotArea>
    </format>
    <format dxfId="9613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5"/>
          </reference>
          <reference field="4" count="1" selected="0">
            <x v="41"/>
          </reference>
          <reference field="5" count="1" selected="0">
            <x v="46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8"/>
          </reference>
          <reference field="21" count="1" selected="0">
            <x v="29"/>
          </reference>
        </references>
      </pivotArea>
    </format>
    <format dxfId="9614">
      <pivotArea dataOnly="0" labelOnly="1" outline="0" fieldPosition="0">
        <references count="10">
          <reference field="0" count="1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23"/>
          </reference>
          <reference field="4" count="1" selected="0">
            <x v="2"/>
          </reference>
          <reference field="5" count="1" selected="0">
            <x v="4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4"/>
          </reference>
          <reference field="21" count="1" selected="0">
            <x v="17"/>
          </reference>
        </references>
      </pivotArea>
    </format>
    <format dxfId="9615">
      <pivotArea dataOnly="0" labelOnly="1" outline="0" fieldPosition="0">
        <references count="10">
          <reference field="0" count="1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3" count="1" selected="0">
            <x v="36"/>
          </reference>
          <reference field="4" count="1" selected="0">
            <x v="36"/>
          </reference>
          <reference field="5" count="1" selected="0">
            <x v="4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0"/>
          </reference>
          <reference field="21" count="1" selected="0">
            <x v="36"/>
          </reference>
        </references>
      </pivotArea>
    </format>
    <format dxfId="9616">
      <pivotArea dataOnly="0" labelOnly="1" outline="0" fieldPosition="0">
        <references count="10">
          <reference field="0" count="1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3" count="1" selected="0">
            <x v="6"/>
          </reference>
          <reference field="4" count="1" selected="0">
            <x v="11"/>
          </reference>
          <reference field="5" count="1" selected="0">
            <x v="16"/>
          </reference>
          <reference field="8" count="1" selected="0">
            <x v="0"/>
          </reference>
          <reference field="12" count="1" selected="0">
            <x v="5"/>
          </reference>
          <reference field="16" count="1" selected="0">
            <x v="5"/>
          </reference>
          <reference field="21" count="1" selected="0">
            <x v="26"/>
          </reference>
        </references>
      </pivotArea>
    </format>
    <format dxfId="9617">
      <pivotArea dataOnly="0" labelOnly="1" outline="0" fieldPosition="0">
        <references count="10">
          <reference field="0" count="1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3" count="1" selected="0">
            <x v="45"/>
          </reference>
          <reference field="4" count="1" selected="0">
            <x v="38"/>
          </reference>
          <reference field="5" count="1" selected="0">
            <x v="45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4"/>
          </reference>
          <reference field="21" count="1" selected="0">
            <x v="21"/>
          </reference>
        </references>
      </pivotArea>
    </format>
    <format dxfId="9618">
      <pivotArea dataOnly="0" labelOnly="1" outline="0" fieldPosition="0">
        <references count="10">
          <reference field="0" count="1">
            <x v="1"/>
          </reference>
          <reference field="1" count="1" selected="0">
            <x v="10"/>
          </reference>
          <reference field="2" count="1" selected="0">
            <x v="14"/>
          </reference>
          <reference field="3" count="1" selected="0">
            <x v="48"/>
          </reference>
          <reference field="4" count="1" selected="0">
            <x v="1"/>
          </reference>
          <reference field="5" count="1" selected="0">
            <x v="0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8"/>
          </reference>
          <reference field="21" count="1" selected="0">
            <x v="20"/>
          </reference>
        </references>
      </pivotArea>
    </format>
    <format dxfId="9619">
      <pivotArea dataOnly="0" labelOnly="1" outline="0" fieldPosition="0">
        <references count="10">
          <reference field="0" count="1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3" count="1" selected="0">
            <x v="31"/>
          </reference>
          <reference field="4" count="1" selected="0">
            <x v="22"/>
          </reference>
          <reference field="5" count="1" selected="0">
            <x v="2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6"/>
          </reference>
          <reference field="21" count="1" selected="0">
            <x v="5"/>
          </reference>
        </references>
      </pivotArea>
    </format>
    <format dxfId="9620">
      <pivotArea dataOnly="0" labelOnly="1" outline="0" fieldPosition="0">
        <references count="10">
          <reference field="0" count="1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3" count="1" selected="0">
            <x v="24"/>
          </reference>
          <reference field="4" count="1" selected="0">
            <x v="26"/>
          </reference>
          <reference field="5" count="1" selected="0">
            <x v="37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6"/>
          </reference>
          <reference field="21" count="1" selected="0">
            <x v="5"/>
          </reference>
        </references>
      </pivotArea>
    </format>
    <format dxfId="9621">
      <pivotArea dataOnly="0" labelOnly="1" outline="0" fieldPosition="0">
        <references count="10">
          <reference field="0" count="1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7"/>
          </reference>
          <reference field="5" count="1" selected="0">
            <x v="24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1"/>
          </reference>
          <reference field="21" count="1" selected="0">
            <x v="30"/>
          </reference>
        </references>
      </pivotArea>
    </format>
    <format dxfId="9622">
      <pivotArea dataOnly="0" labelOnly="1" outline="0" fieldPosition="0">
        <references count="10">
          <reference field="0" count="1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3" count="1" selected="0">
            <x v="8"/>
          </reference>
          <reference field="4" count="1" selected="0">
            <x v="39"/>
          </reference>
          <reference field="5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5"/>
          </reference>
          <reference field="21" count="1" selected="0">
            <x v="9"/>
          </reference>
        </references>
      </pivotArea>
    </format>
    <format dxfId="9623">
      <pivotArea dataOnly="0" labelOnly="1" outline="0" fieldPosition="0">
        <references count="10">
          <reference field="0" count="1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3" count="1" selected="0">
            <x v="41"/>
          </reference>
          <reference field="4" count="1" selected="0">
            <x v="48"/>
          </reference>
          <reference field="5" count="1" selected="0">
            <x v="5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0"/>
          </reference>
          <reference field="21" count="1" selected="0">
            <x v="10"/>
          </reference>
        </references>
      </pivotArea>
    </format>
    <format dxfId="9624">
      <pivotArea dataOnly="0" labelOnly="1" outline="0" fieldPosition="0">
        <references count="10">
          <reference field="0" count="1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3" count="1" selected="0">
            <x v="3"/>
          </reference>
          <reference field="4" count="1" selected="0">
            <x v="48"/>
          </reference>
          <reference field="5" count="1" selected="0">
            <x v="52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1"/>
          </reference>
          <reference field="21" count="1" selected="0">
            <x v="37"/>
          </reference>
        </references>
      </pivotArea>
    </format>
    <format dxfId="9625">
      <pivotArea dataOnly="0" labelOnly="1" outline="0" fieldPosition="0">
        <references count="10">
          <reference field="0" count="1">
            <x v="0"/>
          </reference>
          <reference field="1" count="1" selected="0">
            <x v="12"/>
          </reference>
          <reference field="2" count="1" selected="0">
            <x v="6"/>
          </reference>
          <reference field="3" count="1" selected="0">
            <x v="32"/>
          </reference>
          <reference field="4" count="1" selected="0">
            <x v="3"/>
          </reference>
          <reference field="5" count="1" selected="0">
            <x v="1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22"/>
          </reference>
          <reference field="21" count="1" selected="0">
            <x v="16"/>
          </reference>
        </references>
      </pivotArea>
    </format>
    <format dxfId="9626">
      <pivotArea dataOnly="0" labelOnly="1" outline="0" fieldPosition="0">
        <references count="10">
          <reference field="0" count="1">
            <x v="1"/>
          </reference>
          <reference field="1" count="1" selected="0">
            <x v="12"/>
          </reference>
          <reference field="2" count="1" selected="0">
            <x v="9"/>
          </reference>
          <reference field="3" count="1" selected="0">
            <x v="1"/>
          </reference>
          <reference field="4" count="1" selected="0">
            <x v="10"/>
          </reference>
          <reference field="5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3"/>
          </reference>
          <reference field="21" count="1" selected="0">
            <x v="7"/>
          </reference>
        </references>
      </pivotArea>
    </format>
    <format dxfId="9627">
      <pivotArea dataOnly="0" labelOnly="1" outline="0" fieldPosition="0">
        <references count="10">
          <reference field="0" count="1">
            <x v="1"/>
          </reference>
          <reference field="1" count="1" selected="0">
            <x v="12"/>
          </reference>
          <reference field="2" count="1" selected="0">
            <x v="9"/>
          </reference>
          <reference field="3" count="1" selected="0">
            <x v="34"/>
          </reference>
          <reference field="4" count="1" selected="0">
            <x v="23"/>
          </reference>
          <reference field="5" count="1" selected="0">
            <x v="29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19"/>
          </reference>
          <reference field="21" count="1" selected="0">
            <x v="8"/>
          </reference>
        </references>
      </pivotArea>
    </format>
    <format dxfId="9628">
      <pivotArea dataOnly="0" labelOnly="1" outline="0" fieldPosition="0">
        <references count="10">
          <reference field="0" count="1">
            <x v="1"/>
          </reference>
          <reference field="1" count="1" selected="0">
            <x v="12"/>
          </reference>
          <reference field="2" count="1" selected="0">
            <x v="9"/>
          </reference>
          <reference field="3" count="1" selected="0">
            <x v="5"/>
          </reference>
          <reference field="4" count="1" selected="0">
            <x v="33"/>
          </reference>
          <reference field="5" count="1" selected="0">
            <x v="39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2"/>
          </reference>
          <reference field="21" count="1" selected="0">
            <x v="7"/>
          </reference>
        </references>
      </pivotArea>
    </format>
    <format dxfId="9629">
      <pivotArea dataOnly="0" labelOnly="1" outline="0" fieldPosition="0">
        <references count="10">
          <reference field="0" count="1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3" count="1" selected="0">
            <x v="25"/>
          </reference>
          <reference field="4" count="1" selected="0">
            <x v="8"/>
          </reference>
          <reference field="5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5"/>
          </reference>
        </references>
      </pivotArea>
    </format>
    <format dxfId="9630">
      <pivotArea dataOnly="0" labelOnly="1" outline="0" fieldPosition="0">
        <references count="10">
          <reference field="0" count="1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3" count="1" selected="0">
            <x v="12"/>
          </reference>
          <reference field="4" count="1" selected="0">
            <x v="13"/>
          </reference>
          <reference field="5" count="1" selected="0">
            <x v="6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20"/>
          </reference>
          <reference field="21" count="1" selected="0">
            <x v="30"/>
          </reference>
        </references>
      </pivotArea>
    </format>
    <format dxfId="9631">
      <pivotArea dataOnly="0" labelOnly="1" outline="0" fieldPosition="0">
        <references count="10">
          <reference field="0" count="1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3" count="1" selected="0">
            <x v="50"/>
          </reference>
          <reference field="4" count="1" selected="0">
            <x v="44"/>
          </reference>
          <reference field="5" count="1" selected="0">
            <x v="23"/>
          </reference>
          <reference field="8" count="1" selected="0">
            <x v="4"/>
          </reference>
          <reference field="12" count="1" selected="0">
            <x v="4"/>
          </reference>
          <reference field="16" count="1" selected="0">
            <x v="14"/>
          </reference>
          <reference field="21" count="1" selected="0">
            <x v="29"/>
          </reference>
        </references>
      </pivotArea>
    </format>
    <format dxfId="9632">
      <pivotArea dataOnly="0" labelOnly="1" outline="0" fieldPosition="0">
        <references count="10">
          <reference field="0" count="1">
            <x v="0"/>
          </reference>
          <reference field="1" count="1" selected="0">
            <x v="14"/>
          </reference>
          <reference field="2" count="1" selected="0">
            <x v="4"/>
          </reference>
          <reference field="3" count="1" selected="0">
            <x v="27"/>
          </reference>
          <reference field="4" count="1" selected="0">
            <x v="5"/>
          </reference>
          <reference field="5" count="1" selected="0">
            <x v="7"/>
          </reference>
          <reference field="8" count="1" selected="0">
            <x v="3"/>
          </reference>
          <reference field="12" count="1" selected="0">
            <x v="6"/>
          </reference>
          <reference field="16" count="1" selected="0">
            <x v="36"/>
          </reference>
          <reference field="21" count="1" selected="0">
            <x v="14"/>
          </reference>
        </references>
      </pivotArea>
    </format>
    <format dxfId="9633">
      <pivotArea dataOnly="0" labelOnly="1" outline="0" fieldPosition="0">
        <references count="10">
          <reference field="0" count="1">
            <x v="1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13"/>
          </reference>
          <reference field="4" count="1" selected="0">
            <x v="25"/>
          </reference>
          <reference field="5" count="1" selected="0">
            <x v="30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4"/>
          </reference>
        </references>
      </pivotArea>
    </format>
    <format dxfId="9634">
      <pivotArea dataOnly="0" labelOnly="1" outline="0" fieldPosition="0">
        <references count="10">
          <reference field="0" count="1">
            <x v="1"/>
          </reference>
          <reference field="1" count="1" selected="0">
            <x v="16"/>
          </reference>
          <reference field="2" count="1" selected="0">
            <x v="13"/>
          </reference>
          <reference field="3" count="1" selected="0">
            <x v="7"/>
          </reference>
          <reference field="4" count="1" selected="0">
            <x v="45"/>
          </reference>
          <reference field="5" count="1" selected="0">
            <x v="12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33"/>
          </reference>
          <reference field="21" count="1" selected="0">
            <x v="1"/>
          </reference>
        </references>
      </pivotArea>
    </format>
    <format dxfId="9635">
      <pivotArea dataOnly="0" labelOnly="1" outline="0" fieldPosition="0">
        <references count="10">
          <reference field="0" count="1">
            <x v="1"/>
          </reference>
          <reference field="1" count="1" selected="0">
            <x v="16"/>
          </reference>
          <reference field="2" count="1" selected="0">
            <x v="13"/>
          </reference>
          <reference field="3" count="1" selected="0">
            <x v="46"/>
          </reference>
          <reference field="4" count="1" selected="0">
            <x v="9"/>
          </reference>
          <reference field="5" count="1" selected="0">
            <x v="14"/>
          </reference>
          <reference field="8" count="1" selected="0">
            <x v="1"/>
          </reference>
          <reference field="12" count="1" selected="0">
            <x v="2"/>
          </reference>
          <reference field="16" count="1" selected="0">
            <x v="29"/>
          </reference>
          <reference field="21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80F55-9015-4AB8-8E0E-B4805946ABCB}" name="TablaDinámica1" cacheId="1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O78" firstHeaderRow="1" firstDataRow="2" firstDataCol="8"/>
  <pivotFields count="29">
    <pivotField axis="axisCol" compact="0" outline="0" showAll="0" defaultSubtotal="0">
      <items count="6">
        <item x="1"/>
        <item x="0"/>
        <item x="5"/>
        <item x="3"/>
        <item x="2"/>
        <item x="4"/>
      </items>
    </pivotField>
    <pivotField axis="axisRow" compact="0" outline="0" showAll="0" sortType="ascending" defaultSubtotal="0">
      <items count="19">
        <item m="1" x="9"/>
        <item x="5"/>
        <item m="1" x="11"/>
        <item x="2"/>
        <item x="3"/>
        <item m="1" x="17"/>
        <item m="1" x="16"/>
        <item m="1" x="18"/>
        <item m="1" x="15"/>
        <item x="1"/>
        <item x="4"/>
        <item m="1" x="10"/>
        <item x="0"/>
        <item m="1" x="13"/>
        <item x="6"/>
        <item m="1" x="14"/>
        <item x="8"/>
        <item m="1" x="12"/>
        <item x="7"/>
      </items>
    </pivotField>
    <pivotField axis="axisRow" compact="0" outline="0" subtotalTop="0" showAll="0" defaultSubtotal="0">
      <items count="18">
        <item x="8"/>
        <item x="10"/>
        <item x="1"/>
        <item x="3"/>
        <item x="11"/>
        <item x="9"/>
        <item x="16"/>
        <item x="7"/>
        <item x="13"/>
        <item x="0"/>
        <item x="4"/>
        <item m="1" x="17"/>
        <item x="6"/>
        <item x="14"/>
        <item x="5"/>
        <item x="2"/>
        <item x="15"/>
        <item x="12"/>
      </items>
    </pivotField>
    <pivotField dataField="1" compact="0" outline="0" showAll="0" defaultSubtotal="0">
      <items count="60">
        <item x="35"/>
        <item x="0"/>
        <item x="28"/>
        <item m="1" x="58"/>
        <item x="39"/>
        <item x="1"/>
        <item x="32"/>
        <item m="1" x="54"/>
        <item x="38"/>
        <item x="10"/>
        <item m="1" x="55"/>
        <item x="16"/>
        <item m="1" x="51"/>
        <item m="1" x="49"/>
        <item x="9"/>
        <item x="8"/>
        <item x="6"/>
        <item x="3"/>
        <item x="7"/>
        <item m="1" x="56"/>
        <item x="24"/>
        <item x="5"/>
        <item x="23"/>
        <item x="25"/>
        <item x="37"/>
        <item m="1" x="50"/>
        <item x="40"/>
        <item x="42"/>
        <item x="13"/>
        <item x="11"/>
        <item x="33"/>
        <item x="34"/>
        <item m="1" x="59"/>
        <item x="41"/>
        <item x="2"/>
        <item x="26"/>
        <item x="31"/>
        <item x="12"/>
        <item x="22"/>
        <item x="36"/>
        <item x="27"/>
        <item m="1" x="57"/>
        <item x="17"/>
        <item x="21"/>
        <item x="14"/>
        <item x="30"/>
        <item m="1" x="53"/>
        <item x="19"/>
        <item x="29"/>
        <item x="4"/>
        <item m="1" x="52"/>
        <item x="18"/>
        <item x="20"/>
        <item x="15"/>
        <item m="1" x="48"/>
        <item x="44"/>
        <item x="45"/>
        <item x="46"/>
        <item x="47"/>
        <item x="43"/>
      </items>
    </pivotField>
    <pivotField compact="0" outline="0" showAll="0" defaultSubtotal="0">
      <items count="71">
        <item x="20"/>
        <item x="26"/>
        <item x="54"/>
        <item m="1" x="57"/>
        <item x="30"/>
        <item x="37"/>
        <item m="1" x="70"/>
        <item x="35"/>
        <item m="1" x="59"/>
        <item m="1" x="62"/>
        <item x="0"/>
        <item x="29"/>
        <item x="24"/>
        <item m="1" x="60"/>
        <item x="14"/>
        <item x="16"/>
        <item x="15"/>
        <item x="25"/>
        <item x="10"/>
        <item x="9"/>
        <item x="11"/>
        <item x="5"/>
        <item x="31"/>
        <item x="2"/>
        <item x="18"/>
        <item m="1" x="58"/>
        <item x="33"/>
        <item x="55"/>
        <item x="36"/>
        <item x="7"/>
        <item x="21"/>
        <item x="4"/>
        <item x="8"/>
        <item x="1"/>
        <item x="17"/>
        <item x="12"/>
        <item x="28"/>
        <item x="32"/>
        <item x="27"/>
        <item x="34"/>
        <item x="13"/>
        <item x="23"/>
        <item x="6"/>
        <item x="19"/>
        <item m="1" x="61"/>
        <item m="1" x="63"/>
        <item m="1" x="64"/>
        <item m="1" x="65"/>
        <item m="1" x="66"/>
        <item x="3"/>
        <item x="22"/>
        <item m="1" x="67"/>
        <item m="1" x="68"/>
        <item m="1" x="69"/>
        <item x="52"/>
        <item x="53"/>
        <item x="5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compact="0" outline="0" showAll="0" defaultSubtotal="0">
      <items count="72">
        <item x="29"/>
        <item m="1" x="54"/>
        <item x="27"/>
        <item x="19"/>
        <item x="51"/>
        <item m="1" x="71"/>
        <item m="1" x="57"/>
        <item x="42"/>
        <item x="12"/>
        <item m="1" x="68"/>
        <item x="39"/>
        <item m="1" x="56"/>
        <item m="1" x="60"/>
        <item x="9"/>
        <item m="1" x="59"/>
        <item x="0"/>
        <item x="32"/>
        <item x="33"/>
        <item x="40"/>
        <item x="16"/>
        <item x="11"/>
        <item x="10"/>
        <item x="34"/>
        <item m="1" x="58"/>
        <item x="35"/>
        <item x="28"/>
        <item x="17"/>
        <item x="5"/>
        <item x="20"/>
        <item x="2"/>
        <item m="1" x="55"/>
        <item x="52"/>
        <item x="41"/>
        <item m="1" x="69"/>
        <item x="22"/>
        <item x="7"/>
        <item x="4"/>
        <item x="37"/>
        <item m="1" x="70"/>
        <item x="1"/>
        <item x="8"/>
        <item x="36"/>
        <item x="13"/>
        <item x="18"/>
        <item x="31"/>
        <item x="30"/>
        <item x="26"/>
        <item x="14"/>
        <item x="21"/>
        <item x="6"/>
        <item m="1" x="61"/>
        <item m="1" x="62"/>
        <item m="1" x="63"/>
        <item x="15"/>
        <item x="38"/>
        <item x="3"/>
        <item x="23"/>
        <item x="24"/>
        <item x="25"/>
        <item m="1" x="64"/>
        <item m="1" x="65"/>
        <item m="1" x="66"/>
        <item m="1" x="67"/>
        <item x="48"/>
        <item x="49"/>
        <item x="50"/>
        <item x="53"/>
        <item x="43"/>
        <item x="44"/>
        <item x="45"/>
        <item x="46"/>
        <item x="47"/>
      </items>
    </pivotField>
    <pivotField compact="0" outline="0" subtotalTop="0" showAll="0" defaultSubtotal="0"/>
    <pivotField compact="0" outline="0" subtotalTop="0" showAll="0" defaultSubtotal="0"/>
    <pivotField axis="axisRow" compact="0" outline="0" subtotalTop="0" showAll="0">
      <items count="9">
        <item x="2"/>
        <item x="0"/>
        <item x="4"/>
        <item x="1"/>
        <item x="3"/>
        <item x="7"/>
        <item x="5"/>
        <item x="6"/>
        <item t="default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descending" defaultSubtotal="0">
      <items count="7">
        <item x="6"/>
        <item x="5"/>
        <item x="0"/>
        <item x="4"/>
        <item x="3"/>
        <item x="2"/>
        <item x="1"/>
      </items>
    </pivotField>
    <pivotField compact="0" outline="0" subtotalTop="0" showAll="0" defaultSubtotal="0"/>
    <pivotField axis="axisRow" compact="0" outline="0" showAll="0" defaultSubtotal="0">
      <items count="7">
        <item x="2"/>
        <item x="0"/>
        <item x="1"/>
        <item x="3"/>
        <item x="4"/>
        <item x="5"/>
        <item x="6"/>
      </items>
    </pivotField>
    <pivotField axis="axisRow" compact="0" outline="0" showAll="0" defaultSubtotal="0">
      <items count="13">
        <item x="3"/>
        <item x="8"/>
        <item x="5"/>
        <item x="6"/>
        <item x="9"/>
        <item x="4"/>
        <item x="7"/>
        <item x="10"/>
        <item x="0"/>
        <item x="2"/>
        <item x="1"/>
        <item x="12"/>
        <item x="11"/>
      </items>
    </pivotField>
    <pivotField compact="0" outline="0" showAll="0" defaultSubtotal="0">
      <items count="40">
        <item x="8"/>
        <item x="7"/>
        <item x="31"/>
        <item x="19"/>
        <item x="21"/>
        <item x="28"/>
        <item x="3"/>
        <item x="20"/>
        <item x="25"/>
        <item x="5"/>
        <item x="15"/>
        <item x="4"/>
        <item x="13"/>
        <item x="0"/>
        <item x="35"/>
        <item x="17"/>
        <item x="29"/>
        <item x="18"/>
        <item x="6"/>
        <item x="2"/>
        <item x="27"/>
        <item x="30"/>
        <item x="12"/>
        <item x="10"/>
        <item x="26"/>
        <item x="11"/>
        <item x="37"/>
        <item x="9"/>
        <item x="22"/>
        <item x="16"/>
        <item x="23"/>
        <item x="24"/>
        <item x="1"/>
        <item x="36"/>
        <item x="14"/>
        <item x="32"/>
        <item x="33"/>
        <item x="34"/>
        <item x="38"/>
        <item x="39"/>
      </items>
    </pivotField>
    <pivotField axis="axisRow" compact="0" outline="0" showAll="0" defaultSubtotal="0">
      <items count="4">
        <item x="1"/>
        <item x="0"/>
        <item x="2"/>
        <item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6">
        <item x="3"/>
        <item x="0"/>
        <item x="1"/>
        <item x="4"/>
        <item x="2"/>
        <item x="5"/>
      </items>
    </pivotField>
    <pivotField compact="0" outline="0" showAll="0" defaultSubtotal="0">
      <items count="40">
        <item x="8"/>
        <item x="34"/>
        <item x="20"/>
        <item x="15"/>
        <item x="33"/>
        <item x="24"/>
        <item x="30"/>
        <item x="0"/>
        <item x="1"/>
        <item x="27"/>
        <item x="28"/>
        <item x="11"/>
        <item x="2"/>
        <item x="19"/>
        <item x="31"/>
        <item x="9"/>
        <item x="38"/>
        <item x="18"/>
        <item x="7"/>
        <item x="12"/>
        <item x="21"/>
        <item x="22"/>
        <item x="5"/>
        <item x="14"/>
        <item x="10"/>
        <item x="3"/>
        <item x="13"/>
        <item x="16"/>
        <item x="6"/>
        <item x="17"/>
        <item x="25"/>
        <item x="29"/>
        <item x="4"/>
        <item x="26"/>
        <item x="35"/>
        <item x="36"/>
        <item x="23"/>
        <item x="37"/>
        <item x="32"/>
        <item x="3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8">
    <field x="12"/>
    <field x="8"/>
    <field x="1"/>
    <field x="2"/>
    <field x="17"/>
    <field x="14"/>
    <field x="15"/>
    <field x="20"/>
  </rowFields>
  <rowItems count="74">
    <i>
      <x/>
      <x v="3"/>
      <x v="4"/>
      <x v="3"/>
      <x v="1"/>
      <x v="6"/>
      <x v="5"/>
      <x v="1"/>
    </i>
    <i t="default" r="1">
      <x v="3"/>
    </i>
    <i r="1">
      <x v="6"/>
      <x v="18"/>
      <x v="17"/>
      <x v="3"/>
      <x v="6"/>
      <x v="12"/>
      <x v="5"/>
    </i>
    <i t="default" r="1">
      <x v="6"/>
    </i>
    <i>
      <x v="1"/>
      <x v="5"/>
      <x v="4"/>
      <x v="8"/>
      <x v="1"/>
      <x v="2"/>
      <x v="11"/>
      <x v="1"/>
    </i>
    <i r="2">
      <x v="9"/>
      <x v="2"/>
      <x v="1"/>
      <x v="5"/>
      <x v="5"/>
      <x v="1"/>
    </i>
    <i r="3">
      <x v="3"/>
      <x v="1"/>
      <x v="2"/>
      <x v="11"/>
      <x v="1"/>
    </i>
    <i r="5">
      <x v="5"/>
      <x v="5"/>
      <x v="1"/>
    </i>
    <i r="2">
      <x v="12"/>
      <x/>
      <x v="1"/>
      <x v="5"/>
      <x v="5"/>
      <x v="1"/>
    </i>
    <i r="3">
      <x v="6"/>
      <x v="3"/>
      <x v="2"/>
      <x v="12"/>
      <x v="5"/>
    </i>
    <i r="3">
      <x v="16"/>
      <x v="1"/>
      <x v="2"/>
      <x v="11"/>
      <x v="1"/>
    </i>
    <i r="2">
      <x v="14"/>
      <x v="4"/>
      <x v="3"/>
      <x v="2"/>
      <x v="12"/>
      <x v="5"/>
    </i>
    <i r="2">
      <x v="16"/>
      <x v="13"/>
      <x v="3"/>
      <x v="2"/>
      <x v="12"/>
      <x v="5"/>
    </i>
    <i r="2">
      <x v="18"/>
      <x v="17"/>
      <x v="3"/>
      <x v="2"/>
      <x v="12"/>
      <x v="5"/>
    </i>
    <i t="default" r="1">
      <x v="5"/>
    </i>
    <i r="1">
      <x v="6"/>
      <x v="3"/>
      <x v="15"/>
      <x v="1"/>
      <x v="5"/>
      <x v="5"/>
      <x v="1"/>
    </i>
    <i r="2">
      <x v="4"/>
      <x v="3"/>
      <x v="1"/>
      <x v="2"/>
      <x v="11"/>
      <x v="1"/>
    </i>
    <i r="2">
      <x v="9"/>
      <x v="2"/>
      <x v="1"/>
      <x v="1"/>
      <x v="6"/>
      <x v="4"/>
    </i>
    <i r="4">
      <x v="3"/>
      <x v="6"/>
      <x v="12"/>
      <x v="5"/>
    </i>
    <i r="2">
      <x v="10"/>
      <x v="12"/>
      <x/>
      <x/>
      <x v="5"/>
      <x v="4"/>
    </i>
    <i r="2">
      <x v="18"/>
      <x v="3"/>
      <x/>
      <x v="1"/>
      <x v="9"/>
      <x v="1"/>
    </i>
    <i r="3">
      <x v="14"/>
      <x/>
      <x v="1"/>
      <x v="1"/>
      <x v="3"/>
    </i>
    <i r="3">
      <x v="17"/>
      <x/>
      <x v="1"/>
      <x v="8"/>
      <x v="4"/>
    </i>
    <i r="6">
      <x v="9"/>
      <x v="4"/>
    </i>
    <i r="5">
      <x v="2"/>
      <x v="9"/>
      <x v="1"/>
    </i>
    <i r="4">
      <x v="1"/>
      <x v="1"/>
      <x v="10"/>
      <x v="4"/>
    </i>
    <i r="4">
      <x v="3"/>
      <x v="6"/>
      <x v="12"/>
      <x v="5"/>
    </i>
    <i t="default" r="1">
      <x v="6"/>
    </i>
    <i r="1">
      <x v="7"/>
      <x v="14"/>
      <x v="4"/>
      <x/>
      <x v="2"/>
      <x v="2"/>
      <x v="4"/>
    </i>
    <i r="2">
      <x v="18"/>
      <x v="17"/>
      <x v="1"/>
      <x v="2"/>
      <x v="11"/>
      <x v="1"/>
    </i>
    <i t="default" r="1">
      <x v="7"/>
    </i>
    <i>
      <x v="2"/>
      <x v="1"/>
      <x v="1"/>
      <x v="1"/>
      <x/>
      <x v="1"/>
      <x v="9"/>
      <x v="1"/>
    </i>
    <i r="4">
      <x v="1"/>
      <x v="2"/>
      <x v="10"/>
      <x v="1"/>
    </i>
    <i r="2">
      <x v="3"/>
      <x v="15"/>
      <x/>
      <x v="2"/>
      <x v="9"/>
      <x v="1"/>
    </i>
    <i r="4">
      <x v="1"/>
      <x v="2"/>
      <x v="10"/>
      <x v="1"/>
    </i>
    <i r="2">
      <x v="4"/>
      <x v="7"/>
      <x/>
      <x v="1"/>
      <x v="9"/>
      <x v="1"/>
    </i>
    <i r="2">
      <x v="12"/>
      <x/>
      <x/>
      <x v="1"/>
      <x v="9"/>
      <x v="1"/>
    </i>
    <i r="3">
      <x v="5"/>
      <x v="1"/>
      <x v="2"/>
      <x v="5"/>
      <x v="1"/>
    </i>
    <i r="3">
      <x v="9"/>
      <x/>
      <x v="1"/>
      <x v="9"/>
      <x v="1"/>
    </i>
    <i r="4">
      <x v="1"/>
      <x v="1"/>
      <x v="8"/>
      <x v="1"/>
    </i>
    <i r="5">
      <x v="2"/>
      <x v="10"/>
      <x v="1"/>
    </i>
    <i t="default" r="1">
      <x v="1"/>
    </i>
    <i>
      <x v="3"/>
      <x v="2"/>
      <x v="3"/>
      <x v="10"/>
      <x/>
      <x v="2"/>
      <x v="9"/>
      <x v="1"/>
    </i>
    <i t="default" r="1">
      <x v="2"/>
    </i>
    <i>
      <x v="4"/>
      <x v="4"/>
      <x v="1"/>
      <x v="1"/>
      <x/>
      <x v="1"/>
      <x v="9"/>
      <x v="4"/>
    </i>
    <i r="2">
      <x v="3"/>
      <x v="15"/>
      <x/>
      <x v="1"/>
      <x v="8"/>
      <x v="4"/>
    </i>
    <i r="2">
      <x v="4"/>
      <x v="3"/>
      <x/>
      <x v="1"/>
      <x v="9"/>
      <x v="4"/>
    </i>
    <i r="2">
      <x v="9"/>
      <x v="2"/>
      <x/>
      <x v="1"/>
      <x v="9"/>
      <x v="4"/>
    </i>
    <i r="3">
      <x v="3"/>
      <x/>
      <x v="1"/>
      <x v="7"/>
      <x v="4"/>
    </i>
    <i r="2">
      <x v="10"/>
      <x v="12"/>
      <x/>
      <x v="1"/>
      <x v="9"/>
      <x v="4"/>
    </i>
    <i r="2">
      <x v="12"/>
      <x/>
      <x v="1"/>
      <x v="1"/>
      <x v="10"/>
      <x v="4"/>
    </i>
    <i t="default" r="1">
      <x v="4"/>
    </i>
    <i>
      <x v="5"/>
      <x/>
      <x v="3"/>
      <x v="15"/>
      <x/>
      <x/>
      <x v="5"/>
      <x v="4"/>
    </i>
    <i r="5">
      <x v="1"/>
      <x v="4"/>
      <x v="4"/>
    </i>
    <i r="5">
      <x v="2"/>
      <x v="2"/>
      <x v="4"/>
    </i>
    <i r="5">
      <x v="3"/>
      <x v="3"/>
      <x v="4"/>
    </i>
    <i r="4">
      <x v="1"/>
      <x v="1"/>
      <x v="6"/>
      <x/>
    </i>
    <i r="4">
      <x v="2"/>
      <x/>
      <x v="5"/>
      <x v="4"/>
    </i>
    <i r="2">
      <x v="4"/>
      <x v="7"/>
      <x/>
      <x v="3"/>
      <x v="3"/>
      <x v="4"/>
    </i>
    <i r="2">
      <x v="9"/>
      <x v="2"/>
      <x/>
      <x/>
      <x v="5"/>
      <x v="4"/>
    </i>
    <i r="5">
      <x v="3"/>
      <x v="3"/>
      <x v="4"/>
    </i>
    <i r="2">
      <x v="10"/>
      <x v="12"/>
      <x v="1"/>
      <x/>
      <x v="8"/>
      <x v="4"/>
    </i>
    <i t="default" r="1">
      <x/>
    </i>
    <i>
      <x v="6"/>
      <x v="3"/>
      <x v="3"/>
      <x v="15"/>
      <x/>
      <x/>
      <x v="5"/>
      <x v="4"/>
    </i>
    <i r="5">
      <x v="1"/>
      <x v="1"/>
      <x v="2"/>
    </i>
    <i r="2">
      <x v="4"/>
      <x v="3"/>
      <x/>
      <x/>
      <x v="2"/>
      <x v="2"/>
    </i>
    <i r="2">
      <x v="9"/>
      <x v="2"/>
      <x/>
      <x/>
      <x/>
      <x v="2"/>
    </i>
    <i r="6">
      <x v="2"/>
      <x v="4"/>
    </i>
    <i r="3">
      <x v="3"/>
      <x/>
      <x v="3"/>
      <x v="3"/>
      <x v="4"/>
    </i>
    <i r="2">
      <x v="10"/>
      <x v="12"/>
      <x/>
      <x v="1"/>
      <x v="2"/>
      <x v="4"/>
    </i>
    <i r="3">
      <x v="14"/>
      <x/>
      <x/>
      <x v="2"/>
      <x v="4"/>
    </i>
    <i r="2">
      <x v="14"/>
      <x v="4"/>
      <x/>
      <x v="4"/>
      <x v="12"/>
      <x v="2"/>
    </i>
    <i t="default" r="1">
      <x v="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nt" fld="3" subtotal="count" baseField="7" baseItem="1"/>
  </dataFields>
  <formats count="446">
    <format dxfId="8811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881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8813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881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8815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881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881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5"/>
          </reference>
        </references>
      </pivotArea>
    </format>
    <format dxfId="881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0"/>
          <reference field="12" count="1" selected="0">
            <x v="4"/>
          </reference>
        </references>
      </pivotArea>
    </format>
    <format dxfId="881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12" count="1">
            <x v="4"/>
          </reference>
        </references>
      </pivotArea>
    </format>
    <format dxfId="8820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12" count="1">
            <x v="3"/>
          </reference>
        </references>
      </pivotArea>
    </format>
    <format dxfId="8821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4">
            <x v="2"/>
            <x v="4"/>
            <x v="5"/>
            <x v="6"/>
          </reference>
        </references>
      </pivotArea>
    </format>
    <format dxfId="882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2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0"/>
          </reference>
          <reference field="8" count="1">
            <x v="2"/>
          </reference>
          <reference field="12" count="1" selected="0">
            <x v="3"/>
          </reference>
        </references>
      </pivotArea>
    </format>
    <format dxfId="882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882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2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882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8828">
      <pivotArea field="1" type="button" dataOnly="0" labelOnly="1" outline="0" axis="axisRow" fieldPosition="2"/>
    </format>
    <format dxfId="8829">
      <pivotArea field="2" type="button" dataOnly="0" labelOnly="1" outline="0" axis="axisRow" fieldPosition="3"/>
    </format>
    <format dxfId="8830">
      <pivotArea field="12" type="button" dataOnly="0" labelOnly="1" outline="0" axis="axisRow" fieldPosition="0"/>
    </format>
    <format dxfId="8831">
      <pivotArea field="8" type="button" dataOnly="0" labelOnly="1" outline="0" axis="axisRow" fieldPosition="1"/>
    </format>
    <format dxfId="8832">
      <pivotArea field="5" type="button" dataOnly="0" labelOnly="1" outline="0"/>
    </format>
    <format dxfId="8833">
      <pivotArea field="3" type="button" dataOnly="0" labelOnly="1" outline="0"/>
    </format>
    <format dxfId="8834">
      <pivotArea field="16" type="button" dataOnly="0" labelOnly="1" outline="0"/>
    </format>
    <format dxfId="8835">
      <pivotArea field="21" type="button" dataOnly="0" labelOnly="1" outline="0"/>
    </format>
    <format dxfId="8836">
      <pivotArea field="4" type="button" dataOnly="0" labelOnly="1" outline="0"/>
    </format>
    <format dxfId="8837">
      <pivotArea field="0" type="button" dataOnly="0" labelOnly="1" outline="0" axis="axisCol" fieldPosition="0"/>
    </format>
    <format dxfId="8838">
      <pivotArea dataOnly="0" labelOnly="1" outline="0" fieldPosition="0">
        <references count="1">
          <reference field="1" count="0"/>
        </references>
      </pivotArea>
    </format>
    <format dxfId="8839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8840">
      <pivotArea dataOnly="0" labelOnly="1" outline="0" fieldPosition="0">
        <references count="2">
          <reference field="1" count="1" selected="0">
            <x v="3"/>
          </reference>
          <reference field="2" count="2">
            <x v="10"/>
            <x v="15"/>
          </reference>
        </references>
      </pivotArea>
    </format>
    <format dxfId="8841">
      <pivotArea dataOnly="0" labelOnly="1" outline="0" fieldPosition="0">
        <references count="2">
          <reference field="1" count="1" selected="0">
            <x v="4"/>
          </reference>
          <reference field="2" count="2">
            <x v="3"/>
            <x v="7"/>
          </reference>
        </references>
      </pivotArea>
    </format>
    <format dxfId="8842">
      <pivotArea dataOnly="0" labelOnly="1" outline="0" fieldPosition="0">
        <references count="2">
          <reference field="1" count="1" selected="0">
            <x v="9"/>
          </reference>
          <reference field="2" count="2">
            <x v="2"/>
            <x v="8"/>
          </reference>
        </references>
      </pivotArea>
    </format>
    <format dxfId="8843">
      <pivotArea dataOnly="0" labelOnly="1" outline="0" fieldPosition="0">
        <references count="2">
          <reference field="1" count="1" selected="0">
            <x v="10"/>
          </reference>
          <reference field="2" count="2">
            <x v="12"/>
            <x v="14"/>
          </reference>
        </references>
      </pivotArea>
    </format>
    <format dxfId="8844">
      <pivotArea dataOnly="0" labelOnly="1" outline="0" fieldPosition="0">
        <references count="2">
          <reference field="1" count="1" selected="0">
            <x v="12"/>
          </reference>
          <reference field="2" count="4">
            <x v="0"/>
            <x v="5"/>
            <x v="6"/>
            <x v="9"/>
          </reference>
        </references>
      </pivotArea>
    </format>
    <format dxfId="8845">
      <pivotArea dataOnly="0" labelOnly="1" outline="0" fieldPosition="0">
        <references count="2">
          <reference field="1" count="1" selected="0">
            <x v="14"/>
          </reference>
          <reference field="2" count="2">
            <x v="4"/>
            <x v="11"/>
          </reference>
        </references>
      </pivotArea>
    </format>
    <format dxfId="8846">
      <pivotArea dataOnly="0" labelOnly="1" outline="0" fieldPosition="0">
        <references count="2">
          <reference field="1" count="1" selected="0">
            <x v="16"/>
          </reference>
          <reference field="2" count="1">
            <x v="13"/>
          </reference>
        </references>
      </pivotArea>
    </format>
    <format dxfId="884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12" count="2">
            <x v="2"/>
            <x v="4"/>
          </reference>
        </references>
      </pivotArea>
    </format>
    <format dxfId="8848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12" count="1">
            <x v="3"/>
          </reference>
        </references>
      </pivotArea>
    </format>
    <format dxfId="8849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4">
            <x v="2"/>
            <x v="4"/>
            <x v="5"/>
            <x v="6"/>
          </reference>
        </references>
      </pivotArea>
    </format>
    <format dxfId="8850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3"/>
          </reference>
          <reference field="12" count="2">
            <x v="4"/>
            <x v="6"/>
          </reference>
        </references>
      </pivotArea>
    </format>
    <format dxfId="8851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7"/>
          </reference>
          <reference field="12" count="2">
            <x v="2"/>
            <x v="5"/>
          </reference>
        </references>
      </pivotArea>
    </format>
    <format dxfId="8852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2"/>
          </reference>
          <reference field="12" count="3">
            <x v="4"/>
            <x v="5"/>
            <x v="6"/>
          </reference>
        </references>
      </pivotArea>
    </format>
    <format dxfId="8853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8"/>
          </reference>
          <reference field="12" count="2">
            <x v="4"/>
            <x v="5"/>
          </reference>
        </references>
      </pivotArea>
    </format>
    <format dxfId="8854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12"/>
          </reference>
          <reference field="12" count="3">
            <x v="4"/>
            <x v="5"/>
            <x v="6"/>
          </reference>
        </references>
      </pivotArea>
    </format>
    <format dxfId="8855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0"/>
          </reference>
          <reference field="12" count="2">
            <x v="2"/>
            <x v="4"/>
          </reference>
        </references>
      </pivotArea>
    </format>
    <format dxfId="8856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5"/>
          </reference>
          <reference field="12" count="2">
            <x v="2"/>
            <x v="4"/>
          </reference>
        </references>
      </pivotArea>
    </format>
    <format dxfId="8857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6"/>
          </reference>
          <reference field="12" count="1">
            <x v="6"/>
          </reference>
        </references>
      </pivotArea>
    </format>
    <format dxfId="8858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9"/>
          </reference>
          <reference field="12" count="1">
            <x v="2"/>
          </reference>
        </references>
      </pivotArea>
    </format>
    <format dxfId="8859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4"/>
          </reference>
          <reference field="12" count="2">
            <x v="4"/>
            <x v="6"/>
          </reference>
        </references>
      </pivotArea>
    </format>
    <format dxfId="8860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11"/>
          </reference>
          <reference field="12" count="1">
            <x v="2"/>
          </reference>
        </references>
      </pivotArea>
    </format>
    <format dxfId="886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886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6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0"/>
          </reference>
          <reference field="8" count="1">
            <x v="2"/>
          </reference>
          <reference field="12" count="1" selected="0">
            <x v="3"/>
          </reference>
        </references>
      </pivotArea>
    </format>
    <format dxfId="886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886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6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886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886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3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6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3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887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7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887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7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887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7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887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887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7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887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78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0"/>
          </reference>
          <reference field="12" count="1" selected="0">
            <x v="5"/>
          </reference>
        </references>
      </pivotArea>
    </format>
    <format dxfId="887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888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0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8881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0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8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5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8883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5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84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6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8885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9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888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4"/>
          </reference>
          <reference field="8" count="1">
            <x v="4"/>
          </reference>
          <reference field="12" count="1" selected="0">
            <x v="4"/>
          </reference>
        </references>
      </pivotArea>
    </format>
    <format dxfId="888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4"/>
          </reference>
          <reference field="8" count="1">
            <x v="3"/>
          </reference>
          <reference field="12" count="1" selected="0">
            <x v="6"/>
          </reference>
        </references>
      </pivotArea>
    </format>
    <format dxfId="888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11"/>
          </reference>
          <reference field="8" count="1">
            <x v="1"/>
          </reference>
          <reference field="12" count="1" selected="0">
            <x v="2"/>
          </reference>
        </references>
      </pivotArea>
    </format>
    <format dxfId="8889">
      <pivotArea dataOnly="0" labelOnly="1" outline="0" fieldPosition="0">
        <references count="2">
          <reference field="8" count="1" defaultSubtotal="1">
            <x v="1"/>
          </reference>
          <reference field="12" count="1" selected="0">
            <x v="2"/>
          </reference>
        </references>
      </pivotArea>
    </format>
    <format dxfId="8890">
      <pivotArea dataOnly="0" labelOnly="1" outline="0" fieldPosition="0">
        <references count="2">
          <reference field="8" count="1" defaultSubtotal="1">
            <x v="1"/>
          </reference>
          <reference field="12" count="1" selected="0">
            <x v="2"/>
          </reference>
        </references>
      </pivotArea>
    </format>
    <format dxfId="8891">
      <pivotArea field="14" type="button" dataOnly="0" labelOnly="1" outline="0" axis="axisRow" fieldPosition="5"/>
    </format>
    <format dxfId="8892">
      <pivotArea dataOnly="0" labelOnly="1" grandRow="1" outline="0" fieldPosition="0"/>
    </format>
    <format dxfId="8893">
      <pivotArea dataOnly="0" labelOnly="1" outline="0" fieldPosition="0">
        <references count="2">
          <reference field="8" count="1" defaultSubtotal="1">
            <x v="1"/>
          </reference>
          <reference field="12" count="1" selected="0">
            <x v="2"/>
          </reference>
        </references>
      </pivotArea>
    </format>
    <format dxfId="8894">
      <pivotArea dataOnly="0" labelOnly="1" outline="0" fieldPosition="0">
        <references count="2">
          <reference field="8" count="1" defaultSubtotal="1">
            <x v="2"/>
          </reference>
          <reference field="12" count="1" selected="0">
            <x v="3"/>
          </reference>
        </references>
      </pivotArea>
    </format>
    <format dxfId="8895">
      <pivotArea dataOnly="0" labelOnly="1" outline="0" fieldPosition="0">
        <references count="2">
          <reference field="8" count="1" defaultSubtotal="1">
            <x v="4"/>
          </reference>
          <reference field="12" count="1" selected="0">
            <x v="4"/>
          </reference>
        </references>
      </pivotArea>
    </format>
    <format dxfId="8896">
      <pivotArea dataOnly="0" labelOnly="1" outline="0" fieldPosition="0">
        <references count="2">
          <reference field="8" count="1" defaultSubtotal="1">
            <x v="0"/>
          </reference>
          <reference field="12" count="1" selected="0">
            <x v="5"/>
          </reference>
        </references>
      </pivotArea>
    </format>
    <format dxfId="8897">
      <pivotArea dataOnly="0" labelOnly="1" outline="0" fieldPosition="0">
        <references count="2">
          <reference field="8" count="1" defaultSubtotal="1">
            <x v="3"/>
          </reference>
          <reference field="12" count="1" selected="0">
            <x v="6"/>
          </reference>
        </references>
      </pivotArea>
    </format>
    <format dxfId="889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889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0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890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890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890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890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0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0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0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>
            <x v="2"/>
          </reference>
        </references>
      </pivotArea>
    </format>
    <format dxfId="890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0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1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1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1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1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1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1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1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1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4">
            <x v="0"/>
            <x v="1"/>
            <x v="2"/>
            <x v="3"/>
          </reference>
        </references>
      </pivotArea>
    </format>
    <format dxfId="891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3"/>
          </reference>
        </references>
      </pivotArea>
    </format>
    <format dxfId="891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3">
            <x v="0"/>
            <x v="1"/>
            <x v="3"/>
          </reference>
        </references>
      </pivotArea>
    </format>
    <format dxfId="892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3"/>
          </reference>
        </references>
      </pivotArea>
    </format>
    <format dxfId="892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0"/>
          </reference>
        </references>
      </pivotArea>
    </format>
    <format dxfId="892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892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892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892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892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4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892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6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892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4"/>
          </reference>
        </references>
      </pivotArea>
    </format>
    <format dxfId="8929">
      <pivotArea field="14" type="button" dataOnly="0" labelOnly="1" outline="0" axis="axisRow" fieldPosition="5"/>
    </format>
    <format dxfId="8930">
      <pivotArea dataOnly="0" labelOnly="1" grandRow="1" outline="0" fieldPosition="0"/>
    </format>
    <format dxfId="8931">
      <pivotArea dataOnly="0" labelOnly="1" outline="0" fieldPosition="0">
        <references count="2">
          <reference field="8" count="1" defaultSubtotal="1">
            <x v="1"/>
          </reference>
          <reference field="12" count="1" selected="0">
            <x v="2"/>
          </reference>
        </references>
      </pivotArea>
    </format>
    <format dxfId="8932">
      <pivotArea dataOnly="0" labelOnly="1" outline="0" fieldPosition="0">
        <references count="2">
          <reference field="8" count="1" defaultSubtotal="1">
            <x v="2"/>
          </reference>
          <reference field="12" count="1" selected="0">
            <x v="3"/>
          </reference>
        </references>
      </pivotArea>
    </format>
    <format dxfId="8933">
      <pivotArea dataOnly="0" labelOnly="1" outline="0" fieldPosition="0">
        <references count="2">
          <reference field="8" count="1" defaultSubtotal="1">
            <x v="4"/>
          </reference>
          <reference field="12" count="1" selected="0">
            <x v="4"/>
          </reference>
        </references>
      </pivotArea>
    </format>
    <format dxfId="8934">
      <pivotArea dataOnly="0" labelOnly="1" outline="0" fieldPosition="0">
        <references count="2">
          <reference field="8" count="1" defaultSubtotal="1">
            <x v="0"/>
          </reference>
          <reference field="12" count="1" selected="0">
            <x v="5"/>
          </reference>
        </references>
      </pivotArea>
    </format>
    <format dxfId="8935">
      <pivotArea dataOnly="0" labelOnly="1" outline="0" fieldPosition="0">
        <references count="2">
          <reference field="8" count="1" defaultSubtotal="1">
            <x v="3"/>
          </reference>
          <reference field="12" count="1" selected="0">
            <x v="6"/>
          </reference>
        </references>
      </pivotArea>
    </format>
    <format dxfId="893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893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3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893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894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894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894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4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4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4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>
            <x v="2"/>
          </reference>
        </references>
      </pivotArea>
    </format>
    <format dxfId="894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4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4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4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5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5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5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5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5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895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4">
            <x v="0"/>
            <x v="1"/>
            <x v="2"/>
            <x v="3"/>
          </reference>
        </references>
      </pivotArea>
    </format>
    <format dxfId="895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3"/>
          </reference>
        </references>
      </pivotArea>
    </format>
    <format dxfId="895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3">
            <x v="0"/>
            <x v="1"/>
            <x v="3"/>
          </reference>
        </references>
      </pivotArea>
    </format>
    <format dxfId="895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3"/>
          </reference>
        </references>
      </pivotArea>
    </format>
    <format dxfId="895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0"/>
          </reference>
        </references>
      </pivotArea>
    </format>
    <format dxfId="896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896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896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896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896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4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896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6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896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4"/>
          </reference>
        </references>
      </pivotArea>
    </format>
    <format dxfId="8967">
      <pivotArea outline="0" fieldPosition="0">
        <references count="7">
          <reference field="1" count="6" selected="0">
            <x v="1"/>
            <x v="3"/>
            <x v="4"/>
            <x v="12"/>
            <x v="14"/>
            <x v="16"/>
          </reference>
          <reference field="2" count="9" selected="0">
            <x v="0"/>
            <x v="1"/>
            <x v="4"/>
            <x v="5"/>
            <x v="7"/>
            <x v="9"/>
            <x v="11"/>
            <x v="13"/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2" selected="0">
            <x v="1"/>
            <x v="2"/>
          </reference>
          <reference field="15" count="5" selected="0">
            <x v="5"/>
            <x v="8"/>
            <x v="9"/>
            <x v="10"/>
            <x v="11"/>
          </reference>
          <reference field="20" count="1" selected="0">
            <x v="1"/>
          </reference>
        </references>
      </pivotArea>
    </format>
    <format dxfId="8968">
      <pivotArea dataOnly="0" labelOnly="1" outline="0" fieldPosition="0">
        <references count="2">
          <reference field="8" count="1">
            <x v="1"/>
          </reference>
          <reference field="12" count="1" selected="0">
            <x v="2"/>
          </reference>
        </references>
      </pivotArea>
    </format>
    <format dxfId="8969">
      <pivotArea dataOnly="0" labelOnly="1" outline="0" fieldPosition="0">
        <references count="3">
          <reference field="1" count="6">
            <x v="1"/>
            <x v="3"/>
            <x v="4"/>
            <x v="12"/>
            <x v="14"/>
            <x v="16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8970">
      <pivotArea dataOnly="0" labelOnly="1" outline="0" fieldPosition="0">
        <references count="4">
          <reference field="1" count="1" selected="0">
            <x v="1"/>
          </reference>
          <reference field="2" count="1">
            <x v="1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8971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8972">
      <pivotArea dataOnly="0" labelOnly="1" outline="0" fieldPosition="0">
        <references count="4">
          <reference field="1" count="1" selected="0">
            <x v="4"/>
          </reference>
          <reference field="2" count="1">
            <x v="7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8973">
      <pivotArea dataOnly="0" labelOnly="1" outline="0" fieldPosition="0">
        <references count="4">
          <reference field="1" count="1" selected="0">
            <x v="12"/>
          </reference>
          <reference field="2" count="3">
            <x v="0"/>
            <x v="5"/>
            <x v="9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8974">
      <pivotArea dataOnly="0" labelOnly="1" outline="0" fieldPosition="0">
        <references count="4">
          <reference field="1" count="1" selected="0">
            <x v="14"/>
          </reference>
          <reference field="2" count="2">
            <x v="4"/>
            <x v="11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8975">
      <pivotArea dataOnly="0" labelOnly="1" outline="0" fieldPosition="0">
        <references count="4">
          <reference field="1" count="1" selected="0">
            <x v="16"/>
          </reference>
          <reference field="2" count="1">
            <x v="13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897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897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8978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8979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898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898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</references>
      </pivotArea>
    </format>
    <format dxfId="8982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2">
            <x v="9"/>
            <x v="10"/>
          </reference>
        </references>
      </pivotArea>
    </format>
    <format dxfId="898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8984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5"/>
          </reference>
        </references>
      </pivotArea>
    </format>
    <format dxfId="8985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2">
            <x v="8"/>
            <x v="9"/>
          </reference>
        </references>
      </pivotArea>
    </format>
    <format dxfId="8986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</references>
      </pivotArea>
    </format>
    <format dxfId="8987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9"/>
          </reference>
        </references>
      </pivotArea>
    </format>
    <format dxfId="8988">
      <pivotArea dataOnly="0" labelOnly="1" outline="0" fieldPosition="0">
        <references count="6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1"/>
          </reference>
        </references>
      </pivotArea>
    </format>
    <format dxfId="8989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8990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20" count="1">
            <x v="1"/>
          </reference>
        </references>
      </pivotArea>
    </format>
    <format dxfId="8991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8992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20" count="1">
            <x v="1"/>
          </reference>
        </references>
      </pivotArea>
    </format>
    <format dxfId="8993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8994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8995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8996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5"/>
          </reference>
          <reference field="20" count="1">
            <x v="1"/>
          </reference>
        </references>
      </pivotArea>
    </format>
    <format dxfId="8997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0" count="1">
            <x v="1"/>
          </reference>
        </references>
      </pivotArea>
    </format>
    <format dxfId="8998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8999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20" count="1">
            <x v="1"/>
          </reference>
        </references>
      </pivotArea>
    </format>
    <format dxfId="9000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9001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9002">
      <pivotArea dataOnly="0" labelOnly="1" outline="0" fieldPosition="0">
        <references count="7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9003">
      <pivotArea dataOnly="0" labelOnly="1" outline="0" fieldPosition="0">
        <references count="7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0" count="1">
            <x v="1"/>
          </reference>
        </references>
      </pivotArea>
    </format>
    <format dxfId="9004">
      <pivotArea outline="0" fieldPosition="0">
        <references count="7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9"/>
          </reference>
          <reference field="20" count="1" selected="0">
            <x v="1"/>
          </reference>
        </references>
      </pivotArea>
    </format>
    <format dxfId="9005">
      <pivotArea dataOnly="0" labelOnly="1" outline="0" fieldPosition="0">
        <references count="2">
          <reference field="8" count="1">
            <x v="2"/>
          </reference>
          <reference field="12" count="1" selected="0">
            <x v="3"/>
          </reference>
        </references>
      </pivotArea>
    </format>
    <format dxfId="9006">
      <pivotArea dataOnly="0" labelOnly="1" outline="0" fieldPosition="0">
        <references count="3">
          <reference field="1" count="1">
            <x v="3"/>
          </reference>
          <reference field="8" count="1" selected="0">
            <x v="2"/>
          </reference>
          <reference field="12" count="1" selected="0">
            <x v="3"/>
          </reference>
        </references>
      </pivotArea>
    </format>
    <format dxfId="9007">
      <pivotArea dataOnly="0" labelOnly="1" outline="0" fieldPosition="0">
        <references count="4">
          <reference field="1" count="1" selected="0">
            <x v="3"/>
          </reference>
          <reference field="2" count="1">
            <x v="10"/>
          </reference>
          <reference field="8" count="1" selected="0">
            <x v="2"/>
          </reference>
          <reference field="12" count="1" selected="0">
            <x v="3"/>
          </reference>
        </references>
      </pivotArea>
    </format>
    <format dxfId="9008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>
            <x v="2"/>
          </reference>
        </references>
      </pivotArea>
    </format>
    <format dxfId="9009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 selected="0">
            <x v="2"/>
          </reference>
          <reference field="15" count="1">
            <x v="9"/>
          </reference>
        </references>
      </pivotArea>
    </format>
    <format dxfId="901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9011">
      <pivotArea outline="0" fieldPosition="0">
        <references count="7">
          <reference field="1" count="7" selected="0">
            <x v="1"/>
            <x v="3"/>
            <x v="4"/>
            <x v="9"/>
            <x v="10"/>
            <x v="12"/>
            <x v="14"/>
          </reference>
          <reference field="2" count="9" selected="0">
            <x v="0"/>
            <x v="1"/>
            <x v="2"/>
            <x v="3"/>
            <x v="4"/>
            <x v="5"/>
            <x v="8"/>
            <x v="12"/>
            <x v="15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4" selected="0">
            <x v="7"/>
            <x v="8"/>
            <x v="9"/>
            <x v="10"/>
          </reference>
          <reference field="20" count="1" selected="0">
            <x v="4"/>
          </reference>
        </references>
      </pivotArea>
    </format>
    <format dxfId="9012">
      <pivotArea dataOnly="0" labelOnly="1" outline="0" fieldPosition="0">
        <references count="2">
          <reference field="8" count="1">
            <x v="4"/>
          </reference>
          <reference field="12" count="1" selected="0">
            <x v="4"/>
          </reference>
        </references>
      </pivotArea>
    </format>
    <format dxfId="9013">
      <pivotArea dataOnly="0" labelOnly="1" outline="0" fieldPosition="0">
        <references count="3">
          <reference field="1" count="7">
            <x v="1"/>
            <x v="3"/>
            <x v="4"/>
            <x v="9"/>
            <x v="10"/>
            <x v="12"/>
            <x v="1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014">
      <pivotArea dataOnly="0" labelOnly="1" outline="0" fieldPosition="0">
        <references count="4">
          <reference field="1" count="1" selected="0">
            <x v="1"/>
          </reference>
          <reference field="2" count="1">
            <x v="1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015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016">
      <pivotArea dataOnly="0" labelOnly="1" outline="0" fieldPosition="0">
        <references count="4">
          <reference field="1" count="1" selected="0">
            <x v="4"/>
          </reference>
          <reference field="2" count="1">
            <x v="3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017">
      <pivotArea dataOnly="0" labelOnly="1" outline="0" fieldPosition="0">
        <references count="4">
          <reference field="1" count="1" selected="0">
            <x v="9"/>
          </reference>
          <reference field="2" count="2">
            <x v="2"/>
            <x v="8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018">
      <pivotArea dataOnly="0" labelOnly="1" outline="0" fieldPosition="0">
        <references count="4">
          <reference field="1" count="1" selected="0">
            <x v="10"/>
          </reference>
          <reference field="2" count="1">
            <x v="12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019">
      <pivotArea dataOnly="0" labelOnly="1" outline="0" fieldPosition="0">
        <references count="4">
          <reference field="1" count="1" selected="0">
            <x v="12"/>
          </reference>
          <reference field="2" count="2">
            <x v="0"/>
            <x v="5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020">
      <pivotArea dataOnly="0" labelOnly="1" outline="0" fieldPosition="0">
        <references count="4">
          <reference field="1" count="1" selected="0">
            <x v="14"/>
          </reference>
          <reference field="2" count="1">
            <x v="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02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902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9023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8"/>
          </reference>
        </references>
      </pivotArea>
    </format>
    <format dxfId="902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9025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8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7"/>
          </reference>
        </references>
      </pivotArea>
    </format>
    <format dxfId="9026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9027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0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10"/>
          </reference>
        </references>
      </pivotArea>
    </format>
    <format dxfId="9028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2">
            <x v="8"/>
            <x v="9"/>
          </reference>
        </references>
      </pivotArea>
    </format>
    <format dxfId="9029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903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20" count="1">
            <x v="4"/>
          </reference>
        </references>
      </pivotArea>
    </format>
    <format dxfId="9031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9032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9033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7"/>
          </reference>
          <reference field="20" count="1">
            <x v="4"/>
          </reference>
        </references>
      </pivotArea>
    </format>
    <format dxfId="9034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9035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20" count="1">
            <x v="4"/>
          </reference>
        </references>
      </pivotArea>
    </format>
    <format dxfId="9036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20" count="1">
            <x v="4"/>
          </reference>
        </references>
      </pivotArea>
    </format>
    <format dxfId="9037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20" count="1">
            <x v="4"/>
          </reference>
        </references>
      </pivotArea>
    </format>
    <format dxfId="9038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9039">
      <pivotArea outline="0" fieldPosition="0">
        <references count="7">
          <reference field="1" count="4" selected="0">
            <x v="3"/>
            <x v="4"/>
            <x v="9"/>
            <x v="10"/>
          </reference>
          <reference field="2" count="5" selected="0">
            <x v="2"/>
            <x v="7"/>
            <x v="8"/>
            <x v="12"/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4" selected="0">
            <x v="0"/>
            <x v="1"/>
            <x v="2"/>
            <x v="3"/>
          </reference>
          <reference field="15" count="6" selected="0">
            <x v="2"/>
            <x v="3"/>
            <x v="4"/>
            <x v="5"/>
            <x v="6"/>
            <x v="8"/>
          </reference>
          <reference field="20" count="2" selected="0">
            <x v="0"/>
            <x v="4"/>
          </reference>
        </references>
      </pivotArea>
    </format>
    <format dxfId="9040">
      <pivotArea dataOnly="0" labelOnly="1" outline="0" fieldPosition="0">
        <references count="2">
          <reference field="8" count="1">
            <x v="0"/>
          </reference>
          <reference field="12" count="1" selected="0">
            <x v="5"/>
          </reference>
        </references>
      </pivotArea>
    </format>
    <format dxfId="9041">
      <pivotArea dataOnly="0" labelOnly="1" outline="0" fieldPosition="0">
        <references count="3">
          <reference field="1" count="4">
            <x v="3"/>
            <x v="4"/>
            <x v="9"/>
            <x v="10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042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043">
      <pivotArea dataOnly="0" labelOnly="1" outline="0" fieldPosition="0">
        <references count="4">
          <reference field="1" count="1" selected="0">
            <x v="4"/>
          </reference>
          <reference field="2" count="1">
            <x v="7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044">
      <pivotArea dataOnly="0" labelOnly="1" outline="0" fieldPosition="0">
        <references count="4">
          <reference field="1" count="1" selected="0">
            <x v="9"/>
          </reference>
          <reference field="2" count="2">
            <x v="2"/>
            <x v="8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045">
      <pivotArea dataOnly="0" labelOnly="1" outline="0" fieldPosition="0">
        <references count="4">
          <reference field="1" count="1" selected="0">
            <x v="10"/>
          </reference>
          <reference field="2" count="1">
            <x v="12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046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4">
            <x v="0"/>
            <x v="1"/>
            <x v="2"/>
            <x v="3"/>
          </reference>
        </references>
      </pivotArea>
    </format>
    <format dxfId="9047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3">
            <x v="0"/>
            <x v="1"/>
            <x v="3"/>
          </reference>
        </references>
      </pivotArea>
    </format>
    <format dxfId="9048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0"/>
          </reference>
        </references>
      </pivotArea>
    </format>
    <format dxfId="9049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</references>
      </pivotArea>
    </format>
    <format dxfId="9050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2">
            <x v="4"/>
            <x v="6"/>
          </reference>
        </references>
      </pivotArea>
    </format>
    <format dxfId="9051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2"/>
          </reference>
          <reference field="15" count="1">
            <x v="2"/>
          </reference>
        </references>
      </pivotArea>
    </format>
    <format dxfId="9052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</references>
      </pivotArea>
    </format>
    <format dxfId="9053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</references>
      </pivotArea>
    </format>
    <format dxfId="9054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>
            <x v="6"/>
          </reference>
        </references>
      </pivotArea>
    </format>
    <format dxfId="9055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</references>
      </pivotArea>
    </format>
    <format dxfId="9056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8"/>
          </reference>
        </references>
      </pivotArea>
    </format>
    <format dxfId="905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20" count="1">
            <x v="4"/>
          </reference>
        </references>
      </pivotArea>
    </format>
    <format dxfId="9058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4"/>
          </reference>
          <reference field="20" count="1">
            <x v="4"/>
          </reference>
        </references>
      </pivotArea>
    </format>
    <format dxfId="9059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6"/>
          </reference>
          <reference field="20" count="1">
            <x v="0"/>
          </reference>
        </references>
      </pivotArea>
    </format>
    <format dxfId="906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2"/>
          </reference>
          <reference field="15" count="1" selected="0">
            <x v="2"/>
          </reference>
          <reference field="20" count="1">
            <x v="4"/>
          </reference>
        </references>
      </pivotArea>
    </format>
    <format dxfId="9061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20" count="1">
            <x v="4"/>
          </reference>
        </references>
      </pivotArea>
    </format>
    <format dxfId="9062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20" count="1">
            <x v="4"/>
          </reference>
        </references>
      </pivotArea>
    </format>
    <format dxfId="9063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20" count="1">
            <x v="4"/>
          </reference>
        </references>
      </pivotArea>
    </format>
    <format dxfId="9064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6"/>
          </reference>
          <reference field="20" count="1">
            <x v="4"/>
          </reference>
        </references>
      </pivotArea>
    </format>
    <format dxfId="9065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20" count="1">
            <x v="4"/>
          </reference>
        </references>
      </pivotArea>
    </format>
    <format dxfId="9066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20" count="1">
            <x v="4"/>
          </reference>
        </references>
      </pivotArea>
    </format>
    <format dxfId="9067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8"/>
          </reference>
          <reference field="20" count="1">
            <x v="4"/>
          </reference>
        </references>
      </pivotArea>
    </format>
    <format dxfId="9068">
      <pivotArea outline="0" fieldPosition="0">
        <references count="7">
          <reference field="1" count="6" selected="0">
            <x v="3"/>
            <x v="4"/>
            <x v="9"/>
            <x v="10"/>
            <x v="12"/>
            <x v="14"/>
          </reference>
          <reference field="2" count="7" selected="0">
            <x v="2"/>
            <x v="3"/>
            <x v="4"/>
            <x v="6"/>
            <x v="12"/>
            <x v="14"/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3" selected="0">
            <x v="0"/>
            <x v="1"/>
            <x v="4"/>
          </reference>
          <reference field="15" count="4" selected="0">
            <x v="0"/>
            <x v="1"/>
            <x v="2"/>
            <x v="12"/>
          </reference>
          <reference field="20" count="3" selected="0">
            <x v="2"/>
            <x v="3"/>
            <x v="4"/>
          </reference>
        </references>
      </pivotArea>
    </format>
    <format dxfId="9069">
      <pivotArea dataOnly="0" labelOnly="1" outline="0" fieldPosition="0">
        <references count="2">
          <reference field="8" count="1">
            <x v="3"/>
          </reference>
          <reference field="12" count="1" selected="0">
            <x v="6"/>
          </reference>
        </references>
      </pivotArea>
    </format>
    <format dxfId="9070">
      <pivotArea dataOnly="0" labelOnly="1" outline="0" fieldPosition="0">
        <references count="3">
          <reference field="1" count="6">
            <x v="3"/>
            <x v="4"/>
            <x v="9"/>
            <x v="10"/>
            <x v="12"/>
            <x v="14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071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072">
      <pivotArea dataOnly="0" labelOnly="1" outline="0" fieldPosition="0">
        <references count="4">
          <reference field="1" count="1" selected="0">
            <x v="4"/>
          </reference>
          <reference field="2" count="1">
            <x v="3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073">
      <pivotArea dataOnly="0" labelOnly="1" outline="0" fieldPosition="0">
        <references count="4">
          <reference field="1" count="1" selected="0">
            <x v="9"/>
          </reference>
          <reference field="2" count="1">
            <x v="2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074">
      <pivotArea dataOnly="0" labelOnly="1" outline="0" fieldPosition="0">
        <references count="4">
          <reference field="1" count="1" selected="0">
            <x v="10"/>
          </reference>
          <reference field="2" count="2">
            <x v="12"/>
            <x v="14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075">
      <pivotArea dataOnly="0" labelOnly="1" outline="0" fieldPosition="0">
        <references count="4">
          <reference field="1" count="1" selected="0">
            <x v="12"/>
          </reference>
          <reference field="2" count="1">
            <x v="6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076">
      <pivotArea dataOnly="0" labelOnly="1" outline="0" fieldPosition="0">
        <references count="4">
          <reference field="1" count="1" selected="0">
            <x v="14"/>
          </reference>
          <reference field="2" count="1">
            <x v="4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077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9078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3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9079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9080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4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9081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6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9082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4"/>
          </reference>
        </references>
      </pivotArea>
    </format>
    <format dxfId="9083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</references>
      </pivotArea>
    </format>
    <format dxfId="908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>
            <x v="2"/>
          </reference>
        </references>
      </pivotArea>
    </format>
    <format dxfId="9085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2">
            <x v="0"/>
            <x v="2"/>
          </reference>
        </references>
      </pivotArea>
    </format>
    <format dxfId="9086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6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</references>
      </pivotArea>
    </format>
    <format dxfId="9087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4"/>
          </reference>
          <reference field="15" count="1">
            <x v="12"/>
          </reference>
        </references>
      </pivotArea>
    </format>
    <format dxfId="9088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20" count="1">
            <x v="2"/>
          </reference>
        </references>
      </pivotArea>
    </format>
    <format dxfId="9089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20" count="1">
            <x v="2"/>
          </reference>
        </references>
      </pivotArea>
    </format>
    <format dxfId="9090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0"/>
          </reference>
          <reference field="20" count="1">
            <x v="2"/>
          </reference>
        </references>
      </pivotArea>
    </format>
    <format dxfId="9091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20" count="1">
            <x v="4"/>
          </reference>
        </references>
      </pivotArea>
    </format>
    <format dxfId="9092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2"/>
          </reference>
          <reference field="20" count="1">
            <x v="4"/>
          </reference>
        </references>
      </pivotArea>
    </format>
    <format dxfId="9093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4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20" count="1">
            <x v="4"/>
          </reference>
        </references>
      </pivotArea>
    </format>
    <format dxfId="9094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6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20" count="1">
            <x v="3"/>
          </reference>
        </references>
      </pivotArea>
    </format>
    <format dxfId="9095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4"/>
          </reference>
          <reference field="15" count="1" selected="0">
            <x v="12"/>
          </reference>
          <reference field="20" count="1">
            <x v="2"/>
          </reference>
        </references>
      </pivotArea>
    </format>
    <format dxfId="9096">
      <pivotArea outline="0" fieldPosition="0">
        <references count="8">
          <reference field="1" count="6" selected="0">
            <x v="1"/>
            <x v="3"/>
            <x v="4"/>
            <x v="12"/>
            <x v="14"/>
            <x v="16"/>
          </reference>
          <reference field="2" count="9" selected="0">
            <x v="0"/>
            <x v="1"/>
            <x v="4"/>
            <x v="5"/>
            <x v="7"/>
            <x v="9"/>
            <x v="11"/>
            <x v="13"/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2" selected="0">
            <x v="1"/>
            <x v="2"/>
          </reference>
          <reference field="15" count="5" selected="0">
            <x v="5"/>
            <x v="8"/>
            <x v="9"/>
            <x v="10"/>
            <x v="11"/>
          </reference>
          <reference field="17" count="2" selected="0">
            <x v="0"/>
            <x v="1"/>
          </reference>
          <reference field="20" count="1" selected="0">
            <x v="1"/>
          </reference>
        </references>
      </pivotArea>
    </format>
    <format dxfId="9097">
      <pivotArea dataOnly="0" labelOnly="1" outline="0" fieldPosition="0">
        <references count="2">
          <reference field="8" count="1">
            <x v="1"/>
          </reference>
          <reference field="12" count="1" selected="0">
            <x v="2"/>
          </reference>
        </references>
      </pivotArea>
    </format>
    <format dxfId="9098">
      <pivotArea dataOnly="0" labelOnly="1" outline="0" fieldPosition="0">
        <references count="3">
          <reference field="1" count="6">
            <x v="1"/>
            <x v="3"/>
            <x v="4"/>
            <x v="12"/>
            <x v="14"/>
            <x v="16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099">
      <pivotArea dataOnly="0" labelOnly="1" outline="0" fieldPosition="0">
        <references count="4">
          <reference field="1" count="1" selected="0">
            <x v="1"/>
          </reference>
          <reference field="2" count="1">
            <x v="1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100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101">
      <pivotArea dataOnly="0" labelOnly="1" outline="0" fieldPosition="0">
        <references count="4">
          <reference field="1" count="1" selected="0">
            <x v="4"/>
          </reference>
          <reference field="2" count="1">
            <x v="7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102">
      <pivotArea dataOnly="0" labelOnly="1" outline="0" fieldPosition="0">
        <references count="4">
          <reference field="1" count="1" selected="0">
            <x v="12"/>
          </reference>
          <reference field="2" count="3">
            <x v="0"/>
            <x v="5"/>
            <x v="9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103">
      <pivotArea dataOnly="0" labelOnly="1" outline="0" fieldPosition="0">
        <references count="4">
          <reference field="1" count="1" selected="0">
            <x v="14"/>
          </reference>
          <reference field="2" count="2">
            <x v="4"/>
            <x v="11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104">
      <pivotArea dataOnly="0" labelOnly="1" outline="0" fieldPosition="0">
        <references count="4">
          <reference field="1" count="1" selected="0">
            <x v="16"/>
          </reference>
          <reference field="2" count="1">
            <x v="13"/>
          </reference>
          <reference field="8" count="1" selected="0">
            <x v="1"/>
          </reference>
          <reference field="12" count="1" selected="0">
            <x v="2"/>
          </reference>
        </references>
      </pivotArea>
    </format>
    <format dxfId="910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7" count="2">
            <x v="0"/>
            <x v="1"/>
          </reference>
        </references>
      </pivotArea>
    </format>
    <format dxfId="9106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7" count="2">
            <x v="0"/>
            <x v="1"/>
          </reference>
        </references>
      </pivotArea>
    </format>
    <format dxfId="910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7" count="1">
            <x v="0"/>
          </reference>
        </references>
      </pivotArea>
    </format>
    <format dxfId="9108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7" count="1">
            <x v="1"/>
          </reference>
        </references>
      </pivotArea>
    </format>
    <format dxfId="9109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7" count="2">
            <x v="0"/>
            <x v="1"/>
          </reference>
        </references>
      </pivotArea>
    </format>
    <format dxfId="9110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8" count="1" selected="0">
            <x v="1"/>
          </reference>
          <reference field="12" count="1" selected="0">
            <x v="2"/>
          </reference>
          <reference field="17" count="1">
            <x v="0"/>
          </reference>
        </references>
      </pivotArea>
    </format>
    <format dxfId="9111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7" count="1">
            <x v="1"/>
          </reference>
        </references>
      </pivotArea>
    </format>
    <format dxfId="9112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9113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  <reference field="17" count="1" selected="0">
            <x v="1"/>
          </reference>
        </references>
      </pivotArea>
    </format>
    <format dxfId="9114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9115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  <reference field="17" count="1" selected="0">
            <x v="1"/>
          </reference>
        </references>
      </pivotArea>
    </format>
    <format dxfId="9116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9117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>
            <x v="2"/>
          </reference>
          <reference field="17" count="1" selected="0">
            <x v="1"/>
          </reference>
        </references>
      </pivotArea>
    </format>
    <format dxfId="9118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19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912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21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9122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23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5"/>
          </reference>
          <reference field="17" count="1" selected="0">
            <x v="1"/>
          </reference>
        </references>
      </pivotArea>
    </format>
    <format dxfId="9124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25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8"/>
          </reference>
          <reference field="17" count="1" selected="0">
            <x v="1"/>
          </reference>
        </references>
      </pivotArea>
    </format>
    <format dxfId="9126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9127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28">
      <pivotArea dataOnly="0" labelOnly="1" outline="0" fieldPosition="0">
        <references count="7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1"/>
          </reference>
          <reference field="17" count="1" selected="0">
            <x v="1"/>
          </reference>
        </references>
      </pivotArea>
    </format>
    <format dxfId="9129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30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9131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32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9133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34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0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35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36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5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9137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38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9139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9140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41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11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42">
      <pivotArea dataOnly="0" labelOnly="1" outline="0" fieldPosition="0">
        <references count="8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43">
      <pivotArea dataOnly="0" labelOnly="1" outline="0" fieldPosition="0">
        <references count="8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1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9144">
      <pivotArea outline="0" fieldPosition="0">
        <references count="8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 selected="0">
            <x v="1"/>
          </reference>
        </references>
      </pivotArea>
    </format>
    <format dxfId="9145">
      <pivotArea dataOnly="0" labelOnly="1" outline="0" fieldPosition="0">
        <references count="2">
          <reference field="8" count="1">
            <x v="2"/>
          </reference>
          <reference field="12" count="1" selected="0">
            <x v="3"/>
          </reference>
        </references>
      </pivotArea>
    </format>
    <format dxfId="9146">
      <pivotArea dataOnly="0" labelOnly="1" outline="0" fieldPosition="0">
        <references count="3">
          <reference field="1" count="1">
            <x v="3"/>
          </reference>
          <reference field="8" count="1" selected="0">
            <x v="2"/>
          </reference>
          <reference field="12" count="1" selected="0">
            <x v="3"/>
          </reference>
        </references>
      </pivotArea>
    </format>
    <format dxfId="9147">
      <pivotArea dataOnly="0" labelOnly="1" outline="0" fieldPosition="0">
        <references count="4">
          <reference field="1" count="1" selected="0">
            <x v="3"/>
          </reference>
          <reference field="2" count="1">
            <x v="10"/>
          </reference>
          <reference field="8" count="1" selected="0">
            <x v="2"/>
          </reference>
          <reference field="12" count="1" selected="0">
            <x v="3"/>
          </reference>
        </references>
      </pivotArea>
    </format>
    <format dxfId="9148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7" count="1">
            <x v="0"/>
          </reference>
        </references>
      </pivotArea>
    </format>
    <format dxfId="9149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>
            <x v="2"/>
          </reference>
          <reference field="17" count="1" selected="0">
            <x v="0"/>
          </reference>
        </references>
      </pivotArea>
    </format>
    <format dxfId="915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 selected="0">
            <x v="2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51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0"/>
          </reference>
          <reference field="8" count="1" selected="0">
            <x v="2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9152">
      <pivotArea outline="0" fieldPosition="0">
        <references count="8">
          <reference field="1" count="7" selected="0">
            <x v="1"/>
            <x v="3"/>
            <x v="4"/>
            <x v="9"/>
            <x v="10"/>
            <x v="12"/>
            <x v="14"/>
          </reference>
          <reference field="2" count="9" selected="0">
            <x v="0"/>
            <x v="1"/>
            <x v="2"/>
            <x v="3"/>
            <x v="4"/>
            <x v="5"/>
            <x v="8"/>
            <x v="12"/>
            <x v="15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4" selected="0">
            <x v="7"/>
            <x v="8"/>
            <x v="9"/>
            <x v="10"/>
          </reference>
          <reference field="17" count="2" selected="0">
            <x v="0"/>
            <x v="1"/>
          </reference>
          <reference field="20" count="1" selected="0">
            <x v="4"/>
          </reference>
        </references>
      </pivotArea>
    </format>
    <format dxfId="9153">
      <pivotArea dataOnly="0" labelOnly="1" outline="0" fieldPosition="0">
        <references count="2">
          <reference field="8" count="1">
            <x v="4"/>
          </reference>
          <reference field="12" count="1" selected="0">
            <x v="4"/>
          </reference>
        </references>
      </pivotArea>
    </format>
    <format dxfId="9154">
      <pivotArea dataOnly="0" labelOnly="1" outline="0" fieldPosition="0">
        <references count="3">
          <reference field="1" count="7">
            <x v="1"/>
            <x v="3"/>
            <x v="4"/>
            <x v="9"/>
            <x v="10"/>
            <x v="12"/>
            <x v="1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155">
      <pivotArea dataOnly="0" labelOnly="1" outline="0" fieldPosition="0">
        <references count="4">
          <reference field="1" count="1" selected="0">
            <x v="1"/>
          </reference>
          <reference field="2" count="1">
            <x v="1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156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157">
      <pivotArea dataOnly="0" labelOnly="1" outline="0" fieldPosition="0">
        <references count="4">
          <reference field="1" count="1" selected="0">
            <x v="4"/>
          </reference>
          <reference field="2" count="1">
            <x v="3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158">
      <pivotArea dataOnly="0" labelOnly="1" outline="0" fieldPosition="0">
        <references count="4">
          <reference field="1" count="1" selected="0">
            <x v="9"/>
          </reference>
          <reference field="2" count="2">
            <x v="2"/>
            <x v="8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159">
      <pivotArea dataOnly="0" labelOnly="1" outline="0" fieldPosition="0">
        <references count="4">
          <reference field="1" count="1" selected="0">
            <x v="10"/>
          </reference>
          <reference field="2" count="1">
            <x v="12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160">
      <pivotArea dataOnly="0" labelOnly="1" outline="0" fieldPosition="0">
        <references count="4">
          <reference field="1" count="1" selected="0">
            <x v="12"/>
          </reference>
          <reference field="2" count="2">
            <x v="0"/>
            <x v="5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161">
      <pivotArea dataOnly="0" labelOnly="1" outline="0" fieldPosition="0">
        <references count="4">
          <reference field="1" count="1" selected="0">
            <x v="14"/>
          </reference>
          <reference field="2" count="1">
            <x v="4"/>
          </reference>
          <reference field="8" count="1" selected="0">
            <x v="4"/>
          </reference>
          <reference field="12" count="1" selected="0">
            <x v="4"/>
          </reference>
        </references>
      </pivotArea>
    </format>
    <format dxfId="9162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7" count="1">
            <x v="0"/>
          </reference>
        </references>
      </pivotArea>
    </format>
    <format dxfId="9163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0"/>
          </reference>
          <reference field="8" count="1" selected="0">
            <x v="4"/>
          </reference>
          <reference field="12" count="1" selected="0">
            <x v="4"/>
          </reference>
          <reference field="17" count="1">
            <x v="1"/>
          </reference>
        </references>
      </pivotArea>
    </format>
    <format dxfId="9164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7" count="1">
            <x v="0"/>
          </reference>
        </references>
      </pivotArea>
    </format>
    <format dxfId="916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9166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6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8"/>
          </reference>
          <reference field="17" count="1" selected="0">
            <x v="0"/>
          </reference>
        </references>
      </pivotArea>
    </format>
    <format dxfId="9168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69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7"/>
          </reference>
          <reference field="17" count="1" selected="0">
            <x v="0"/>
          </reference>
        </references>
      </pivotArea>
    </format>
    <format dxfId="9170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9171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9172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2">
            <x v="8"/>
            <x v="9"/>
          </reference>
          <reference field="17" count="1" selected="0">
            <x v="0"/>
          </reference>
        </references>
      </pivotArea>
    </format>
    <format dxfId="9173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174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175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176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177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8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7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178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179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0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9180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9181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182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183">
      <pivotArea outline="0" fieldPosition="0">
        <references count="8">
          <reference field="1" count="4" selected="0">
            <x v="3"/>
            <x v="4"/>
            <x v="9"/>
            <x v="10"/>
          </reference>
          <reference field="2" count="5" selected="0">
            <x v="2"/>
            <x v="7"/>
            <x v="8"/>
            <x v="12"/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4" selected="0">
            <x v="0"/>
            <x v="1"/>
            <x v="2"/>
            <x v="3"/>
          </reference>
          <reference field="15" count="6" selected="0">
            <x v="2"/>
            <x v="3"/>
            <x v="4"/>
            <x v="5"/>
            <x v="6"/>
            <x v="8"/>
          </reference>
          <reference field="17" count="0" selected="0"/>
          <reference field="20" count="2" selected="0">
            <x v="0"/>
            <x v="4"/>
          </reference>
        </references>
      </pivotArea>
    </format>
    <format dxfId="9184">
      <pivotArea dataOnly="0" labelOnly="1" outline="0" fieldPosition="0">
        <references count="2">
          <reference field="8" count="1">
            <x v="0"/>
          </reference>
          <reference field="12" count="1" selected="0">
            <x v="5"/>
          </reference>
        </references>
      </pivotArea>
    </format>
    <format dxfId="9185">
      <pivotArea dataOnly="0" labelOnly="1" outline="0" fieldPosition="0">
        <references count="3">
          <reference field="1" count="4">
            <x v="3"/>
            <x v="4"/>
            <x v="9"/>
            <x v="10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186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187">
      <pivotArea dataOnly="0" labelOnly="1" outline="0" fieldPosition="0">
        <references count="4">
          <reference field="1" count="1" selected="0">
            <x v="4"/>
          </reference>
          <reference field="2" count="1">
            <x v="7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188">
      <pivotArea dataOnly="0" labelOnly="1" outline="0" fieldPosition="0">
        <references count="4">
          <reference field="1" count="1" selected="0">
            <x v="9"/>
          </reference>
          <reference field="2" count="2">
            <x v="2"/>
            <x v="8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189">
      <pivotArea dataOnly="0" labelOnly="1" outline="0" fieldPosition="0">
        <references count="4">
          <reference field="1" count="1" selected="0">
            <x v="10"/>
          </reference>
          <reference field="2" count="1">
            <x v="12"/>
          </reference>
          <reference field="8" count="1" selected="0">
            <x v="0"/>
          </reference>
          <reference field="12" count="1" selected="0">
            <x v="5"/>
          </reference>
        </references>
      </pivotArea>
    </format>
    <format dxfId="9190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7" count="0"/>
        </references>
      </pivotArea>
    </format>
    <format dxfId="9191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7"/>
          </reference>
          <reference field="8" count="1" selected="0">
            <x v="0"/>
          </reference>
          <reference field="12" count="1" selected="0">
            <x v="5"/>
          </reference>
          <reference field="17" count="1">
            <x v="0"/>
          </reference>
        </references>
      </pivotArea>
    </format>
    <format dxfId="9192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7" count="1">
            <x v="1"/>
          </reference>
        </references>
      </pivotArea>
    </format>
    <format dxfId="9193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7" count="1">
            <x v="0"/>
          </reference>
        </references>
      </pivotArea>
    </format>
    <format dxfId="9194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7" count="1">
            <x v="1"/>
          </reference>
        </references>
      </pivotArea>
    </format>
    <format dxfId="9195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4">
            <x v="0"/>
            <x v="1"/>
            <x v="2"/>
            <x v="3"/>
          </reference>
          <reference field="17" count="1" selected="0">
            <x v="0"/>
          </reference>
        </references>
      </pivotArea>
    </format>
    <format dxfId="9196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1"/>
          </reference>
          <reference field="17" count="1" selected="0">
            <x v="1"/>
          </reference>
        </references>
      </pivotArea>
    </format>
    <format dxfId="9197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0"/>
          </reference>
          <reference field="17" count="1" selected="0">
            <x v="2"/>
          </reference>
        </references>
      </pivotArea>
    </format>
    <format dxfId="919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7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3"/>
          </reference>
          <reference field="17" count="1" selected="0">
            <x v="0"/>
          </reference>
        </references>
      </pivotArea>
    </format>
    <format dxfId="9199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2">
            <x v="0"/>
            <x v="3"/>
          </reference>
          <reference field="17" count="1" selected="0">
            <x v="0"/>
          </reference>
        </references>
      </pivotArea>
    </format>
    <format dxfId="9200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1"/>
          </reference>
          <reference field="17" count="1" selected="0">
            <x v="1"/>
          </reference>
        </references>
      </pivotArea>
    </format>
    <format dxfId="9201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3"/>
          </reference>
          <reference field="17" count="1" selected="0">
            <x v="0"/>
          </reference>
        </references>
      </pivotArea>
    </format>
    <format dxfId="9202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4" count="1">
            <x v="0"/>
          </reference>
          <reference field="17" count="1" selected="0">
            <x v="1"/>
          </reference>
        </references>
      </pivotArea>
    </format>
    <format dxfId="9203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  <reference field="17" count="1" selected="0">
            <x v="0"/>
          </reference>
        </references>
      </pivotArea>
    </format>
    <format dxfId="9204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>
            <x v="4"/>
          </reference>
          <reference field="17" count="1" selected="0">
            <x v="0"/>
          </reference>
        </references>
      </pivotArea>
    </format>
    <format dxfId="9205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2"/>
          </reference>
          <reference field="15" count="1">
            <x v="2"/>
          </reference>
          <reference field="17" count="1" selected="0">
            <x v="0"/>
          </reference>
        </references>
      </pivotArea>
    </format>
    <format dxfId="9206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  <reference field="17" count="1" selected="0">
            <x v="0"/>
          </reference>
        </references>
      </pivotArea>
    </format>
    <format dxfId="920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>
            <x v="6"/>
          </reference>
          <reference field="17" count="1" selected="0">
            <x v="1"/>
          </reference>
        </references>
      </pivotArea>
    </format>
    <format dxfId="9208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  <reference field="17" count="1" selected="0">
            <x v="2"/>
          </reference>
        </references>
      </pivotArea>
    </format>
    <format dxfId="9209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  <reference field="17" count="1" selected="0">
            <x v="0"/>
          </reference>
        </references>
      </pivotArea>
    </format>
    <format dxfId="9210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  <reference field="17" count="1" selected="0">
            <x v="0"/>
          </reference>
        </references>
      </pivotArea>
    </format>
    <format dxfId="9211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  <reference field="17" count="1" selected="0">
            <x v="0"/>
          </reference>
        </references>
      </pivotArea>
    </format>
    <format dxfId="9212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>
            <x v="6"/>
          </reference>
          <reference field="17" count="1" selected="0">
            <x v="1"/>
          </reference>
        </references>
      </pivotArea>
    </format>
    <format dxfId="9213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  <reference field="17" count="1" selected="0">
            <x v="0"/>
          </reference>
        </references>
      </pivotArea>
    </format>
    <format dxfId="9214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8"/>
          </reference>
          <reference field="17" count="1" selected="0">
            <x v="1"/>
          </reference>
        </references>
      </pivotArea>
    </format>
    <format dxfId="9215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16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4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17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2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18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19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6"/>
          </reference>
          <reference field="17" count="1" selected="0">
            <x v="1"/>
          </reference>
          <reference field="20" count="1">
            <x v="0"/>
          </reference>
        </references>
      </pivotArea>
    </format>
    <format dxfId="9220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17" count="1" selected="0">
            <x v="2"/>
          </reference>
          <reference field="20" count="1">
            <x v="4"/>
          </reference>
        </references>
      </pivotArea>
    </format>
    <format dxfId="9221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7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22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23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24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6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9225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8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26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0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8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9227">
      <pivotArea outline="0" collapsedLevelsAreSubtotals="1" fieldPosition="0"/>
    </format>
    <format dxfId="9228">
      <pivotArea outline="0" fieldPosition="0">
        <references count="8">
          <reference field="1" count="6" selected="0">
            <x v="3"/>
            <x v="4"/>
            <x v="9"/>
            <x v="10"/>
            <x v="12"/>
            <x v="14"/>
          </reference>
          <reference field="2" count="7" selected="0">
            <x v="2"/>
            <x v="3"/>
            <x v="4"/>
            <x v="6"/>
            <x v="12"/>
            <x v="14"/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3" selected="0">
            <x v="0"/>
            <x v="1"/>
            <x v="4"/>
          </reference>
          <reference field="15" count="4" selected="0">
            <x v="0"/>
            <x v="1"/>
            <x v="2"/>
            <x v="12"/>
          </reference>
          <reference field="17" count="1" selected="0">
            <x v="0"/>
          </reference>
          <reference field="20" count="3" selected="0">
            <x v="2"/>
            <x v="3"/>
            <x v="4"/>
          </reference>
        </references>
      </pivotArea>
    </format>
    <format dxfId="9229">
      <pivotArea dataOnly="0" labelOnly="1" outline="0" fieldPosition="0">
        <references count="2">
          <reference field="8" count="1">
            <x v="3"/>
          </reference>
          <reference field="12" count="1" selected="0">
            <x v="6"/>
          </reference>
        </references>
      </pivotArea>
    </format>
    <format dxfId="9230">
      <pivotArea dataOnly="0" labelOnly="1" outline="0" fieldPosition="0">
        <references count="3">
          <reference field="1" count="6">
            <x v="3"/>
            <x v="4"/>
            <x v="9"/>
            <x v="10"/>
            <x v="12"/>
            <x v="14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231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232">
      <pivotArea dataOnly="0" labelOnly="1" outline="0" fieldPosition="0">
        <references count="4">
          <reference field="1" count="1" selected="0">
            <x v="4"/>
          </reference>
          <reference field="2" count="1">
            <x v="3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233">
      <pivotArea dataOnly="0" labelOnly="1" outline="0" fieldPosition="0">
        <references count="4">
          <reference field="1" count="1" selected="0">
            <x v="9"/>
          </reference>
          <reference field="2" count="1">
            <x v="2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234">
      <pivotArea dataOnly="0" labelOnly="1" outline="0" fieldPosition="0">
        <references count="4">
          <reference field="1" count="1" selected="0">
            <x v="10"/>
          </reference>
          <reference field="2" count="2">
            <x v="12"/>
            <x v="14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235">
      <pivotArea dataOnly="0" labelOnly="1" outline="0" fieldPosition="0">
        <references count="4">
          <reference field="1" count="1" selected="0">
            <x v="12"/>
          </reference>
          <reference field="2" count="1">
            <x v="6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236">
      <pivotArea dataOnly="0" labelOnly="1" outline="0" fieldPosition="0">
        <references count="4">
          <reference field="1" count="1" selected="0">
            <x v="14"/>
          </reference>
          <reference field="2" count="1">
            <x v="4"/>
          </reference>
          <reference field="8" count="1" selected="0">
            <x v="3"/>
          </reference>
          <reference field="12" count="1" selected="0">
            <x v="6"/>
          </reference>
        </references>
      </pivotArea>
    </format>
    <format dxfId="9237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7" count="1">
            <x v="0"/>
          </reference>
        </references>
      </pivotArea>
    </format>
    <format dxfId="9238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9239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  <reference field="17" count="1" selected="0">
            <x v="0"/>
          </reference>
        </references>
      </pivotArea>
    </format>
    <format dxfId="9240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9241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4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0"/>
          </reference>
          <reference field="17" count="1" selected="0">
            <x v="0"/>
          </reference>
        </references>
      </pivotArea>
    </format>
    <format dxfId="9242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6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9243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8" count="1" selected="0">
            <x v="3"/>
          </reference>
          <reference field="12" count="1" selected="0">
            <x v="6"/>
          </reference>
          <reference field="14" count="1">
            <x v="4"/>
          </reference>
          <reference field="17" count="1" selected="0">
            <x v="0"/>
          </reference>
        </references>
      </pivotArea>
    </format>
    <format dxfId="9244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  <reference field="17" count="1" selected="0">
            <x v="0"/>
          </reference>
        </references>
      </pivotArea>
    </format>
    <format dxfId="9245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>
            <x v="2"/>
          </reference>
          <reference field="17" count="1" selected="0">
            <x v="0"/>
          </reference>
        </references>
      </pivotArea>
    </format>
    <format dxfId="9246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2">
            <x v="0"/>
            <x v="2"/>
          </reference>
          <reference field="17" count="1" selected="0">
            <x v="0"/>
          </reference>
        </references>
      </pivotArea>
    </format>
    <format dxfId="9247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6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  <reference field="17" count="1" selected="0">
            <x v="0"/>
          </reference>
        </references>
      </pivotArea>
    </format>
    <format dxfId="9248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4"/>
          </reference>
          <reference field="15" count="1">
            <x v="12"/>
          </reference>
          <reference field="17" count="1" selected="0">
            <x v="0"/>
          </reference>
        </references>
      </pivotArea>
    </format>
    <format dxfId="9249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9250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9251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0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9252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53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54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4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9255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6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17" count="1" selected="0">
            <x v="0"/>
          </reference>
          <reference field="20" count="1">
            <x v="3"/>
          </reference>
        </references>
      </pivotArea>
    </format>
    <format dxfId="9256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1" selected="0">
            <x v="3"/>
          </reference>
          <reference field="12" count="1" selected="0">
            <x v="6"/>
          </reference>
          <reference field="14" count="1" selected="0">
            <x v="4"/>
          </reference>
          <reference field="15" count="1" selected="0">
            <x v="12"/>
          </reference>
          <reference field="17" count="1" selected="0">
            <x v="0"/>
          </reference>
          <reference field="20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FB66C-A903-4C31-A5E7-8BA1D5F9590F}" name="TablaDinámica1" cacheId="1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P76" firstHeaderRow="1" firstDataRow="2" firstDataCol="9"/>
  <pivotFields count="29">
    <pivotField axis="axisCol" compact="0" outline="0" showAll="0" defaultSubtotal="0">
      <items count="6">
        <item x="1"/>
        <item x="0"/>
        <item x="5"/>
        <item x="3"/>
        <item x="2"/>
        <item x="4"/>
      </items>
    </pivotField>
    <pivotField axis="axisRow" compact="0" outline="0" showAll="0" sortType="ascending" defaultSubtotal="0">
      <items count="19">
        <item m="1" x="9"/>
        <item x="5"/>
        <item m="1" x="11"/>
        <item x="2"/>
        <item x="3"/>
        <item m="1" x="17"/>
        <item m="1" x="16"/>
        <item m="1" x="18"/>
        <item m="1" x="15"/>
        <item x="1"/>
        <item x="4"/>
        <item m="1" x="10"/>
        <item x="0"/>
        <item m="1" x="13"/>
        <item x="6"/>
        <item m="1" x="14"/>
        <item x="8"/>
        <item m="1" x="12"/>
        <item x="7"/>
      </items>
    </pivotField>
    <pivotField axis="axisRow" compact="0" outline="0" subtotalTop="0" showAll="0" defaultSubtotal="0">
      <items count="18">
        <item x="8"/>
        <item x="10"/>
        <item x="1"/>
        <item x="3"/>
        <item x="11"/>
        <item x="9"/>
        <item x="16"/>
        <item x="7"/>
        <item x="13"/>
        <item x="0"/>
        <item x="4"/>
        <item m="1" x="17"/>
        <item x="6"/>
        <item x="14"/>
        <item x="5"/>
        <item x="2"/>
        <item x="15"/>
        <item x="12"/>
      </items>
    </pivotField>
    <pivotField dataField="1" compact="0" outline="0" showAll="0" defaultSubtotal="0">
      <items count="60">
        <item x="35"/>
        <item x="0"/>
        <item x="28"/>
        <item m="1" x="58"/>
        <item x="39"/>
        <item x="1"/>
        <item x="32"/>
        <item m="1" x="54"/>
        <item x="38"/>
        <item x="10"/>
        <item m="1" x="55"/>
        <item x="16"/>
        <item m="1" x="51"/>
        <item m="1" x="49"/>
        <item x="9"/>
        <item x="8"/>
        <item x="6"/>
        <item x="3"/>
        <item x="7"/>
        <item m="1" x="56"/>
        <item x="24"/>
        <item x="5"/>
        <item x="23"/>
        <item x="25"/>
        <item x="37"/>
        <item m="1" x="50"/>
        <item x="40"/>
        <item x="42"/>
        <item x="13"/>
        <item x="11"/>
        <item x="33"/>
        <item x="34"/>
        <item m="1" x="59"/>
        <item x="41"/>
        <item x="2"/>
        <item x="26"/>
        <item x="31"/>
        <item x="12"/>
        <item x="22"/>
        <item x="36"/>
        <item x="27"/>
        <item m="1" x="57"/>
        <item x="17"/>
        <item x="21"/>
        <item x="14"/>
        <item x="30"/>
        <item m="1" x="53"/>
        <item x="19"/>
        <item x="29"/>
        <item x="4"/>
        <item m="1" x="52"/>
        <item x="18"/>
        <item x="20"/>
        <item x="15"/>
        <item m="1" x="48"/>
        <item x="44"/>
        <item x="45"/>
        <item x="46"/>
        <item x="47"/>
        <item x="43"/>
      </items>
    </pivotField>
    <pivotField compact="0" outline="0" showAll="0" defaultSubtotal="0">
      <items count="71">
        <item x="20"/>
        <item x="26"/>
        <item x="54"/>
        <item m="1" x="57"/>
        <item x="30"/>
        <item x="37"/>
        <item m="1" x="70"/>
        <item x="35"/>
        <item m="1" x="59"/>
        <item m="1" x="62"/>
        <item x="0"/>
        <item x="29"/>
        <item x="24"/>
        <item m="1" x="60"/>
        <item x="14"/>
        <item x="16"/>
        <item x="15"/>
        <item x="25"/>
        <item x="10"/>
        <item x="9"/>
        <item x="11"/>
        <item x="5"/>
        <item x="31"/>
        <item x="2"/>
        <item x="18"/>
        <item m="1" x="58"/>
        <item x="33"/>
        <item x="55"/>
        <item x="36"/>
        <item x="7"/>
        <item x="21"/>
        <item x="4"/>
        <item x="8"/>
        <item x="1"/>
        <item x="17"/>
        <item x="12"/>
        <item x="28"/>
        <item x="32"/>
        <item x="27"/>
        <item x="34"/>
        <item x="13"/>
        <item x="23"/>
        <item x="6"/>
        <item x="19"/>
        <item m="1" x="61"/>
        <item m="1" x="63"/>
        <item m="1" x="64"/>
        <item m="1" x="65"/>
        <item m="1" x="66"/>
        <item x="3"/>
        <item x="22"/>
        <item m="1" x="67"/>
        <item m="1" x="68"/>
        <item m="1" x="69"/>
        <item x="52"/>
        <item x="53"/>
        <item x="5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compact="0" outline="0" showAll="0" defaultSubtotal="0">
      <items count="72">
        <item x="29"/>
        <item m="1" x="54"/>
        <item x="27"/>
        <item x="19"/>
        <item x="51"/>
        <item m="1" x="71"/>
        <item m="1" x="57"/>
        <item x="42"/>
        <item x="12"/>
        <item m="1" x="68"/>
        <item x="39"/>
        <item m="1" x="56"/>
        <item m="1" x="60"/>
        <item x="9"/>
        <item m="1" x="59"/>
        <item x="0"/>
        <item x="32"/>
        <item x="33"/>
        <item x="40"/>
        <item x="16"/>
        <item x="11"/>
        <item x="10"/>
        <item x="34"/>
        <item m="1" x="58"/>
        <item x="35"/>
        <item x="28"/>
        <item x="17"/>
        <item x="5"/>
        <item x="20"/>
        <item x="2"/>
        <item m="1" x="55"/>
        <item x="52"/>
        <item x="41"/>
        <item m="1" x="69"/>
        <item x="22"/>
        <item x="7"/>
        <item x="4"/>
        <item x="37"/>
        <item m="1" x="70"/>
        <item x="1"/>
        <item x="8"/>
        <item x="36"/>
        <item x="13"/>
        <item x="18"/>
        <item x="31"/>
        <item x="30"/>
        <item x="26"/>
        <item x="14"/>
        <item x="21"/>
        <item x="6"/>
        <item m="1" x="61"/>
        <item m="1" x="62"/>
        <item m="1" x="63"/>
        <item x="15"/>
        <item x="38"/>
        <item x="3"/>
        <item x="23"/>
        <item x="24"/>
        <item x="25"/>
        <item m="1" x="64"/>
        <item m="1" x="65"/>
        <item m="1" x="66"/>
        <item m="1" x="67"/>
        <item x="48"/>
        <item x="49"/>
        <item x="50"/>
        <item x="53"/>
        <item x="43"/>
        <item x="44"/>
        <item x="45"/>
        <item x="46"/>
        <item x="47"/>
      </items>
    </pivotField>
    <pivotField compact="0" outline="0" subtotalTop="0" showAll="0" defaultSubtotal="0"/>
    <pivotField compact="0" outline="0" subtotalTop="0" showAll="0" defaultSubtotal="0"/>
    <pivotField axis="axisRow" compact="0" outline="0" subtotalTop="0" showAll="0" sortType="ascending" defaultSubtotal="0">
      <items count="8">
        <item x="6"/>
        <item x="2"/>
        <item x="0"/>
        <item x="4"/>
        <item x="1"/>
        <item x="7"/>
        <item x="3"/>
        <item x="5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descending" defaultSubtotal="0">
      <items count="7">
        <item x="6"/>
        <item x="5"/>
        <item x="0"/>
        <item x="4"/>
        <item x="3"/>
        <item x="2"/>
        <item x="1"/>
      </items>
    </pivotField>
    <pivotField compact="0" outline="0" subtotalTop="0" showAll="0" defaultSubtotal="0"/>
    <pivotField axis="axisRow" compact="0" outline="0" showAll="0" defaultSubtotal="0">
      <items count="7">
        <item x="2"/>
        <item x="0"/>
        <item x="1"/>
        <item x="3"/>
        <item x="4"/>
        <item x="5"/>
        <item x="6"/>
      </items>
    </pivotField>
    <pivotField axis="axisRow" compact="0" outline="0" showAll="0" defaultSubtotal="0">
      <items count="13">
        <item x="3"/>
        <item x="8"/>
        <item x="5"/>
        <item x="6"/>
        <item x="9"/>
        <item x="4"/>
        <item x="7"/>
        <item x="10"/>
        <item x="0"/>
        <item x="2"/>
        <item x="1"/>
        <item x="12"/>
        <item x="11"/>
      </items>
    </pivotField>
    <pivotField compact="0" outline="0" showAll="0" defaultSubtotal="0">
      <items count="40">
        <item x="8"/>
        <item x="7"/>
        <item x="31"/>
        <item x="19"/>
        <item x="21"/>
        <item x="28"/>
        <item x="3"/>
        <item x="20"/>
        <item x="25"/>
        <item x="5"/>
        <item x="15"/>
        <item x="4"/>
        <item x="13"/>
        <item x="0"/>
        <item x="35"/>
        <item x="17"/>
        <item x="29"/>
        <item x="18"/>
        <item x="6"/>
        <item x="2"/>
        <item x="27"/>
        <item x="30"/>
        <item x="12"/>
        <item x="10"/>
        <item x="26"/>
        <item x="11"/>
        <item x="37"/>
        <item x="9"/>
        <item x="22"/>
        <item x="16"/>
        <item x="23"/>
        <item x="24"/>
        <item x="1"/>
        <item x="36"/>
        <item x="14"/>
        <item x="32"/>
        <item x="33"/>
        <item x="34"/>
        <item x="38"/>
        <item x="39"/>
      </items>
    </pivotField>
    <pivotField axis="axisRow" compact="0" outline="0" showAll="0" defaultSubtotal="0">
      <items count="4">
        <item x="1"/>
        <item x="0"/>
        <item x="2"/>
        <item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6">
        <item x="3"/>
        <item x="0"/>
        <item x="1"/>
        <item x="4"/>
        <item x="2"/>
        <item x="5"/>
      </items>
    </pivotField>
    <pivotField compact="0" outline="0" showAll="0" defaultSubtotal="0">
      <items count="40">
        <item x="8"/>
        <item x="34"/>
        <item x="20"/>
        <item x="15"/>
        <item x="33"/>
        <item x="24"/>
        <item x="30"/>
        <item x="0"/>
        <item x="1"/>
        <item x="27"/>
        <item x="28"/>
        <item x="11"/>
        <item x="2"/>
        <item x="19"/>
        <item x="31"/>
        <item x="9"/>
        <item x="38"/>
        <item x="18"/>
        <item x="7"/>
        <item x="12"/>
        <item x="21"/>
        <item x="22"/>
        <item x="5"/>
        <item x="14"/>
        <item x="10"/>
        <item x="3"/>
        <item x="13"/>
        <item x="16"/>
        <item x="6"/>
        <item x="17"/>
        <item x="25"/>
        <item x="29"/>
        <item x="4"/>
        <item x="26"/>
        <item x="35"/>
        <item x="36"/>
        <item x="23"/>
        <item x="37"/>
        <item x="32"/>
        <item x="3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9">
    <field x="12"/>
    <field x="8"/>
    <field x="1"/>
    <field x="2"/>
    <field x="17"/>
    <field x="5"/>
    <field x="14"/>
    <field x="15"/>
    <field x="20"/>
  </rowFields>
  <rowItems count="72">
    <i>
      <x/>
      <x v="4"/>
      <x v="4"/>
      <x v="3"/>
      <x v="1"/>
      <x v="65"/>
      <x v="6"/>
      <x v="5"/>
      <x v="1"/>
    </i>
    <i r="1">
      <x v="7"/>
      <x v="18"/>
      <x v="17"/>
      <x v="3"/>
      <x v="63"/>
      <x v="6"/>
      <x v="12"/>
      <x v="5"/>
    </i>
    <i>
      <x v="1"/>
      <x/>
      <x v="14"/>
      <x v="4"/>
      <x/>
      <x v="71"/>
      <x v="2"/>
      <x v="2"/>
      <x v="4"/>
    </i>
    <i r="2">
      <x v="18"/>
      <x v="17"/>
      <x v="1"/>
      <x v="63"/>
      <x v="2"/>
      <x v="11"/>
      <x v="1"/>
    </i>
    <i r="1">
      <x v="5"/>
      <x v="4"/>
      <x v="8"/>
      <x v="1"/>
      <x v="63"/>
      <x v="2"/>
      <x v="11"/>
      <x v="1"/>
    </i>
    <i r="2">
      <x v="9"/>
      <x v="2"/>
      <x v="1"/>
      <x v="31"/>
      <x v="5"/>
      <x v="5"/>
      <x v="1"/>
    </i>
    <i r="3">
      <x v="3"/>
      <x v="1"/>
      <x v="4"/>
      <x v="5"/>
      <x v="5"/>
      <x v="1"/>
    </i>
    <i r="5">
      <x v="64"/>
      <x v="2"/>
      <x v="11"/>
      <x v="1"/>
    </i>
    <i r="2">
      <x v="12"/>
      <x/>
      <x v="1"/>
      <x v="66"/>
      <x v="5"/>
      <x v="5"/>
      <x v="1"/>
    </i>
    <i r="3">
      <x v="6"/>
      <x v="3"/>
      <x v="63"/>
      <x v="2"/>
      <x v="12"/>
      <x v="5"/>
    </i>
    <i r="3">
      <x v="16"/>
      <x v="1"/>
      <x v="63"/>
      <x v="2"/>
      <x v="11"/>
      <x v="1"/>
    </i>
    <i r="2">
      <x v="14"/>
      <x v="4"/>
      <x v="3"/>
      <x v="63"/>
      <x v="2"/>
      <x v="12"/>
      <x v="5"/>
    </i>
    <i r="2">
      <x v="16"/>
      <x v="13"/>
      <x v="3"/>
      <x v="63"/>
      <x v="2"/>
      <x v="12"/>
      <x v="5"/>
    </i>
    <i r="2">
      <x v="18"/>
      <x v="17"/>
      <x v="3"/>
      <x v="63"/>
      <x v="2"/>
      <x v="12"/>
      <x v="5"/>
    </i>
    <i r="1">
      <x v="7"/>
      <x v="3"/>
      <x v="15"/>
      <x v="1"/>
      <x v="67"/>
      <x v="5"/>
      <x v="5"/>
      <x v="1"/>
    </i>
    <i r="2">
      <x v="4"/>
      <x v="3"/>
      <x v="1"/>
      <x v="68"/>
      <x v="2"/>
      <x v="11"/>
      <x v="1"/>
    </i>
    <i r="2">
      <x v="9"/>
      <x v="2"/>
      <x v="1"/>
      <x v="68"/>
      <x v="1"/>
      <x v="6"/>
      <x v="4"/>
    </i>
    <i r="4">
      <x v="3"/>
      <x v="63"/>
      <x v="6"/>
      <x v="12"/>
      <x v="5"/>
    </i>
    <i r="2">
      <x v="10"/>
      <x v="12"/>
      <x/>
      <x v="67"/>
      <x/>
      <x v="5"/>
      <x v="4"/>
    </i>
    <i r="2">
      <x v="18"/>
      <x v="3"/>
      <x/>
      <x v="70"/>
      <x v="1"/>
      <x v="9"/>
      <x v="1"/>
    </i>
    <i r="3">
      <x v="14"/>
      <x/>
      <x v="68"/>
      <x v="1"/>
      <x v="1"/>
      <x v="3"/>
    </i>
    <i r="3">
      <x v="17"/>
      <x/>
      <x v="67"/>
      <x v="1"/>
      <x v="8"/>
      <x v="4"/>
    </i>
    <i r="6">
      <x v="2"/>
      <x v="9"/>
      <x v="1"/>
    </i>
    <i r="5">
      <x v="68"/>
      <x v="1"/>
      <x v="9"/>
      <x v="4"/>
    </i>
    <i r="6">
      <x v="2"/>
      <x v="9"/>
      <x v="1"/>
    </i>
    <i r="5">
      <x v="69"/>
      <x v="2"/>
      <x v="9"/>
      <x v="1"/>
    </i>
    <i r="4">
      <x v="1"/>
      <x v="70"/>
      <x v="1"/>
      <x v="10"/>
      <x v="4"/>
    </i>
    <i r="4">
      <x v="3"/>
      <x v="63"/>
      <x v="6"/>
      <x v="12"/>
      <x v="5"/>
    </i>
    <i>
      <x v="2"/>
      <x v="2"/>
      <x v="1"/>
      <x v="1"/>
      <x/>
      <x v="32"/>
      <x v="1"/>
      <x v="9"/>
      <x v="1"/>
    </i>
    <i r="4">
      <x v="1"/>
      <x v="10"/>
      <x v="2"/>
      <x v="10"/>
      <x v="1"/>
    </i>
    <i r="2">
      <x v="3"/>
      <x v="15"/>
      <x/>
      <x v="3"/>
      <x v="2"/>
      <x v="9"/>
      <x v="1"/>
    </i>
    <i r="5">
      <x v="28"/>
      <x v="2"/>
      <x v="9"/>
      <x v="1"/>
    </i>
    <i r="4">
      <x v="1"/>
      <x v="25"/>
      <x v="2"/>
      <x v="10"/>
      <x v="1"/>
    </i>
    <i r="2">
      <x v="4"/>
      <x v="7"/>
      <x/>
      <x v="17"/>
      <x v="1"/>
      <x v="9"/>
      <x v="1"/>
    </i>
    <i r="2">
      <x v="12"/>
      <x/>
      <x/>
      <x v="22"/>
      <x v="1"/>
      <x v="9"/>
      <x v="1"/>
    </i>
    <i r="5">
      <x v="37"/>
      <x v="1"/>
      <x v="9"/>
      <x v="1"/>
    </i>
    <i r="3">
      <x v="5"/>
      <x v="1"/>
      <x v="54"/>
      <x v="2"/>
      <x v="5"/>
      <x v="1"/>
    </i>
    <i r="3">
      <x v="9"/>
      <x/>
      <x v="29"/>
      <x v="1"/>
      <x v="9"/>
      <x v="1"/>
    </i>
    <i r="4">
      <x v="1"/>
      <x v="15"/>
      <x v="1"/>
      <x v="8"/>
      <x v="1"/>
    </i>
    <i r="5">
      <x v="39"/>
      <x v="2"/>
      <x v="10"/>
      <x v="1"/>
    </i>
    <i>
      <x v="3"/>
      <x v="3"/>
      <x v="3"/>
      <x v="10"/>
      <x/>
      <x v="2"/>
      <x v="2"/>
      <x v="9"/>
      <x v="1"/>
    </i>
    <i>
      <x v="4"/>
      <x v="6"/>
      <x v="1"/>
      <x v="1"/>
      <x/>
      <x v="18"/>
      <x v="1"/>
      <x v="9"/>
      <x v="4"/>
    </i>
    <i r="2">
      <x v="3"/>
      <x v="15"/>
      <x/>
      <x v="48"/>
      <x v="1"/>
      <x v="8"/>
      <x v="4"/>
    </i>
    <i r="2">
      <x v="4"/>
      <x v="3"/>
      <x/>
      <x v="34"/>
      <x v="1"/>
      <x v="9"/>
      <x v="4"/>
    </i>
    <i r="2">
      <x v="9"/>
      <x v="2"/>
      <x/>
      <x v="35"/>
      <x v="1"/>
      <x v="9"/>
      <x v="4"/>
    </i>
    <i r="3">
      <x v="3"/>
      <x/>
      <x v="46"/>
      <x v="1"/>
      <x v="7"/>
      <x v="4"/>
    </i>
    <i r="2">
      <x v="10"/>
      <x v="12"/>
      <x/>
      <x v="44"/>
      <x v="1"/>
      <x v="9"/>
      <x v="4"/>
    </i>
    <i r="2">
      <x v="12"/>
      <x/>
      <x v="1"/>
      <x v="24"/>
      <x v="1"/>
      <x v="10"/>
      <x v="4"/>
    </i>
    <i>
      <x v="5"/>
      <x v="1"/>
      <x v="3"/>
      <x v="15"/>
      <x/>
      <x v="8"/>
      <x v="1"/>
      <x v="4"/>
      <x v="4"/>
    </i>
    <i r="5">
      <x v="13"/>
      <x v="3"/>
      <x v="3"/>
      <x v="4"/>
    </i>
    <i r="5">
      <x v="19"/>
      <x/>
      <x v="5"/>
      <x v="4"/>
    </i>
    <i r="5">
      <x v="43"/>
      <x v="1"/>
      <x v="4"/>
      <x v="4"/>
    </i>
    <i r="5">
      <x v="53"/>
      <x v="2"/>
      <x v="2"/>
      <x v="4"/>
    </i>
    <i r="4">
      <x v="1"/>
      <x v="21"/>
      <x v="1"/>
      <x v="6"/>
      <x/>
    </i>
    <i r="4">
      <x v="2"/>
      <x v="26"/>
      <x/>
      <x v="5"/>
      <x v="4"/>
    </i>
    <i r="5">
      <x v="47"/>
      <x/>
      <x v="5"/>
      <x v="4"/>
    </i>
    <i r="2">
      <x v="4"/>
      <x v="7"/>
      <x/>
      <x v="41"/>
      <x v="3"/>
      <x v="3"/>
      <x v="4"/>
    </i>
    <i r="2">
      <x v="9"/>
      <x v="2"/>
      <x/>
      <x v="27"/>
      <x/>
      <x v="5"/>
      <x v="4"/>
    </i>
    <i r="5">
      <x v="40"/>
      <x v="3"/>
      <x v="3"/>
      <x v="4"/>
    </i>
    <i r="2">
      <x v="10"/>
      <x v="12"/>
      <x v="1"/>
      <x v="16"/>
      <x/>
      <x v="8"/>
      <x v="4"/>
    </i>
    <i>
      <x v="6"/>
      <x v="4"/>
      <x v="3"/>
      <x v="15"/>
      <x/>
      <x v="20"/>
      <x v="1"/>
      <x v="1"/>
      <x v="2"/>
    </i>
    <i r="5">
      <x v="36"/>
      <x/>
      <x v="5"/>
      <x v="4"/>
    </i>
    <i r="5">
      <x v="42"/>
      <x v="1"/>
      <x v="1"/>
      <x v="2"/>
    </i>
    <i r="2">
      <x v="4"/>
      <x v="3"/>
      <x/>
      <x v="57"/>
      <x/>
      <x v="2"/>
      <x v="2"/>
    </i>
    <i r="2">
      <x v="9"/>
      <x v="2"/>
      <x/>
      <x v="49"/>
      <x/>
      <x v="2"/>
      <x v="4"/>
    </i>
    <i r="5">
      <x v="55"/>
      <x/>
      <x/>
      <x v="2"/>
    </i>
    <i r="3">
      <x v="3"/>
      <x/>
      <x v="56"/>
      <x v="3"/>
      <x v="3"/>
      <x v="4"/>
    </i>
    <i r="5">
      <x v="58"/>
      <x v="3"/>
      <x v="3"/>
      <x v="4"/>
    </i>
    <i r="2">
      <x v="10"/>
      <x v="12"/>
      <x/>
      <x v="45"/>
      <x v="1"/>
      <x v="2"/>
      <x v="4"/>
    </i>
    <i r="3">
      <x v="14"/>
      <x/>
      <x/>
      <x/>
      <x v="2"/>
      <x v="4"/>
    </i>
    <i r="2">
      <x v="14"/>
      <x v="4"/>
      <x/>
      <x v="7"/>
      <x v="4"/>
      <x v="12"/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nt" fld="3" subtotal="count" baseField="7" baseItem="1"/>
  </dataFields>
  <formats count="501">
    <format dxfId="2829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283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2831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283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2833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1">
            <x v="6"/>
          </reference>
        </references>
      </pivotArea>
    </format>
    <format dxfId="283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6"/>
          </reference>
        </references>
      </pivotArea>
    </format>
    <format dxfId="283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0"/>
          <reference field="12" count="1" selected="0">
            <x v="5"/>
          </reference>
        </references>
      </pivotArea>
    </format>
    <format dxfId="283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0"/>
          <reference field="12" count="1" selected="0">
            <x v="4"/>
          </reference>
        </references>
      </pivotArea>
    </format>
    <format dxfId="283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12" count="1">
            <x v="4"/>
          </reference>
        </references>
      </pivotArea>
    </format>
    <format dxfId="2838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12" count="1">
            <x v="3"/>
          </reference>
        </references>
      </pivotArea>
    </format>
    <format dxfId="2839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4">
            <x v="2"/>
            <x v="4"/>
            <x v="5"/>
            <x v="6"/>
          </reference>
        </references>
      </pivotArea>
    </format>
    <format dxfId="284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84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0"/>
          </reference>
          <reference field="8" count="1">
            <x v="3"/>
          </reference>
          <reference field="12" count="1" selected="0">
            <x v="3"/>
          </reference>
        </references>
      </pivotArea>
    </format>
    <format dxfId="284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2"/>
          </reference>
          <reference field="12" count="1" selected="0">
            <x v="2"/>
          </reference>
        </references>
      </pivotArea>
    </format>
    <format dxfId="284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84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1"/>
          </reference>
          <reference field="12" count="1" selected="0">
            <x v="5"/>
          </reference>
        </references>
      </pivotArea>
    </format>
    <format dxfId="284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4"/>
          </reference>
          <reference field="12" count="1" selected="0">
            <x v="6"/>
          </reference>
        </references>
      </pivotArea>
    </format>
    <format dxfId="2846">
      <pivotArea field="1" type="button" dataOnly="0" labelOnly="1" outline="0" axis="axisRow" fieldPosition="2"/>
    </format>
    <format dxfId="2847">
      <pivotArea field="2" type="button" dataOnly="0" labelOnly="1" outline="0" axis="axisRow" fieldPosition="3"/>
    </format>
    <format dxfId="2848">
      <pivotArea field="12" type="button" dataOnly="0" labelOnly="1" outline="0" axis="axisRow" fieldPosition="0"/>
    </format>
    <format dxfId="2849">
      <pivotArea field="8" type="button" dataOnly="0" labelOnly="1" outline="0" axis="axisRow" fieldPosition="1"/>
    </format>
    <format dxfId="2850">
      <pivotArea field="5" type="button" dataOnly="0" labelOnly="1" outline="0" axis="axisRow" fieldPosition="5"/>
    </format>
    <format dxfId="2851">
      <pivotArea field="3" type="button" dataOnly="0" labelOnly="1" outline="0"/>
    </format>
    <format dxfId="2852">
      <pivotArea field="16" type="button" dataOnly="0" labelOnly="1" outline="0"/>
    </format>
    <format dxfId="2853">
      <pivotArea field="21" type="button" dataOnly="0" labelOnly="1" outline="0"/>
    </format>
    <format dxfId="2854">
      <pivotArea field="4" type="button" dataOnly="0" labelOnly="1" outline="0"/>
    </format>
    <format dxfId="2855">
      <pivotArea field="0" type="button" dataOnly="0" labelOnly="1" outline="0" axis="axisCol" fieldPosition="0"/>
    </format>
    <format dxfId="2856">
      <pivotArea dataOnly="0" labelOnly="1" outline="0" fieldPosition="0">
        <references count="1">
          <reference field="1" count="0"/>
        </references>
      </pivotArea>
    </format>
    <format dxfId="2857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2858">
      <pivotArea dataOnly="0" labelOnly="1" outline="0" fieldPosition="0">
        <references count="2">
          <reference field="1" count="1" selected="0">
            <x v="3"/>
          </reference>
          <reference field="2" count="2">
            <x v="10"/>
            <x v="15"/>
          </reference>
        </references>
      </pivotArea>
    </format>
    <format dxfId="2859">
      <pivotArea dataOnly="0" labelOnly="1" outline="0" fieldPosition="0">
        <references count="2">
          <reference field="1" count="1" selected="0">
            <x v="4"/>
          </reference>
          <reference field="2" count="2">
            <x v="3"/>
            <x v="7"/>
          </reference>
        </references>
      </pivotArea>
    </format>
    <format dxfId="2860">
      <pivotArea dataOnly="0" labelOnly="1" outline="0" fieldPosition="0">
        <references count="2">
          <reference field="1" count="1" selected="0">
            <x v="9"/>
          </reference>
          <reference field="2" count="2">
            <x v="2"/>
            <x v="8"/>
          </reference>
        </references>
      </pivotArea>
    </format>
    <format dxfId="2861">
      <pivotArea dataOnly="0" labelOnly="1" outline="0" fieldPosition="0">
        <references count="2">
          <reference field="1" count="1" selected="0">
            <x v="10"/>
          </reference>
          <reference field="2" count="2">
            <x v="12"/>
            <x v="14"/>
          </reference>
        </references>
      </pivotArea>
    </format>
    <format dxfId="2862">
      <pivotArea dataOnly="0" labelOnly="1" outline="0" fieldPosition="0">
        <references count="2">
          <reference field="1" count="1" selected="0">
            <x v="12"/>
          </reference>
          <reference field="2" count="4">
            <x v="0"/>
            <x v="5"/>
            <x v="6"/>
            <x v="9"/>
          </reference>
        </references>
      </pivotArea>
    </format>
    <format dxfId="2863">
      <pivotArea dataOnly="0" labelOnly="1" outline="0" fieldPosition="0">
        <references count="2">
          <reference field="1" count="1" selected="0">
            <x v="14"/>
          </reference>
          <reference field="2" count="2">
            <x v="4"/>
            <x v="11"/>
          </reference>
        </references>
      </pivotArea>
    </format>
    <format dxfId="2864">
      <pivotArea dataOnly="0" labelOnly="1" outline="0" fieldPosition="0">
        <references count="2">
          <reference field="1" count="1" selected="0">
            <x v="16"/>
          </reference>
          <reference field="2" count="1">
            <x v="13"/>
          </reference>
        </references>
      </pivotArea>
    </format>
    <format dxfId="2865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12" count="2">
            <x v="2"/>
            <x v="4"/>
          </reference>
        </references>
      </pivotArea>
    </format>
    <format dxfId="286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12" count="1">
            <x v="3"/>
          </reference>
        </references>
      </pivotArea>
    </format>
    <format dxfId="2867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15"/>
          </reference>
          <reference field="12" count="4">
            <x v="2"/>
            <x v="4"/>
            <x v="5"/>
            <x v="6"/>
          </reference>
        </references>
      </pivotArea>
    </format>
    <format dxfId="2868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3"/>
          </reference>
          <reference field="12" count="2">
            <x v="4"/>
            <x v="6"/>
          </reference>
        </references>
      </pivotArea>
    </format>
    <format dxfId="2869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7"/>
          </reference>
          <reference field="12" count="2">
            <x v="2"/>
            <x v="5"/>
          </reference>
        </references>
      </pivotArea>
    </format>
    <format dxfId="2870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2"/>
          </reference>
          <reference field="12" count="3">
            <x v="4"/>
            <x v="5"/>
            <x v="6"/>
          </reference>
        </references>
      </pivotArea>
    </format>
    <format dxfId="2871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8"/>
          </reference>
          <reference field="12" count="2">
            <x v="4"/>
            <x v="5"/>
          </reference>
        </references>
      </pivotArea>
    </format>
    <format dxfId="2872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12"/>
          </reference>
          <reference field="12" count="3">
            <x v="4"/>
            <x v="5"/>
            <x v="6"/>
          </reference>
        </references>
      </pivotArea>
    </format>
    <format dxfId="2873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0"/>
          </reference>
          <reference field="12" count="2">
            <x v="2"/>
            <x v="4"/>
          </reference>
        </references>
      </pivotArea>
    </format>
    <format dxfId="2874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5"/>
          </reference>
          <reference field="12" count="2">
            <x v="2"/>
            <x v="4"/>
          </reference>
        </references>
      </pivotArea>
    </format>
    <format dxfId="2875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6"/>
          </reference>
          <reference field="12" count="1">
            <x v="6"/>
          </reference>
        </references>
      </pivotArea>
    </format>
    <format dxfId="2876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9"/>
          </reference>
          <reference field="12" count="1">
            <x v="2"/>
          </reference>
        </references>
      </pivotArea>
    </format>
    <format dxfId="2877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4"/>
          </reference>
          <reference field="12" count="2">
            <x v="4"/>
            <x v="6"/>
          </reference>
        </references>
      </pivotArea>
    </format>
    <format dxfId="2878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11"/>
          </reference>
          <reference field="12" count="1">
            <x v="2"/>
          </reference>
        </references>
      </pivotArea>
    </format>
    <format dxfId="287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2"/>
          </reference>
          <reference field="12" count="1" selected="0">
            <x v="2"/>
          </reference>
        </references>
      </pivotArea>
    </format>
    <format dxfId="288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88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0"/>
          </reference>
          <reference field="8" count="1">
            <x v="3"/>
          </reference>
          <reference field="12" count="1" selected="0">
            <x v="3"/>
          </reference>
        </references>
      </pivotArea>
    </format>
    <format dxfId="288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2"/>
          </reference>
          <reference field="12" count="1" selected="0">
            <x v="2"/>
          </reference>
        </references>
      </pivotArea>
    </format>
    <format dxfId="288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88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1"/>
          </reference>
          <reference field="12" count="1" selected="0">
            <x v="5"/>
          </reference>
        </references>
      </pivotArea>
    </format>
    <format dxfId="288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15"/>
          </reference>
          <reference field="8" count="1">
            <x v="4"/>
          </reference>
          <reference field="12" count="1" selected="0">
            <x v="6"/>
          </reference>
        </references>
      </pivotArea>
    </format>
    <format dxfId="288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3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88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3"/>
          </reference>
          <reference field="8" count="1">
            <x v="4"/>
          </reference>
          <reference field="12" count="1" selected="0">
            <x v="6"/>
          </reference>
        </references>
      </pivotArea>
    </format>
    <format dxfId="288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7"/>
          </reference>
          <reference field="8" count="1">
            <x v="2"/>
          </reference>
          <reference field="12" count="1" selected="0">
            <x v="2"/>
          </reference>
        </references>
      </pivotArea>
    </format>
    <format dxfId="288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7"/>
          </reference>
          <reference field="8" count="1">
            <x v="1"/>
          </reference>
          <reference field="12" count="1" selected="0">
            <x v="5"/>
          </reference>
        </references>
      </pivotArea>
    </format>
    <format dxfId="289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89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1"/>
          </reference>
          <reference field="12" count="1" selected="0">
            <x v="5"/>
          </reference>
        </references>
      </pivotArea>
    </format>
    <format dxfId="289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"/>
          </reference>
          <reference field="8" count="1">
            <x v="4"/>
          </reference>
          <reference field="12" count="1" selected="0">
            <x v="6"/>
          </reference>
        </references>
      </pivotArea>
    </format>
    <format dxfId="289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89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"/>
          </reference>
          <reference field="8" count="1">
            <x v="1"/>
          </reference>
          <reference field="12" count="1" selected="0">
            <x v="5"/>
          </reference>
        </references>
      </pivotArea>
    </format>
    <format dxfId="289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896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1"/>
          </reference>
          <reference field="12" count="1" selected="0">
            <x v="5"/>
          </reference>
        </references>
      </pivotArea>
    </format>
    <format dxfId="289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12"/>
          </reference>
          <reference field="8" count="1">
            <x v="4"/>
          </reference>
          <reference field="12" count="1" selected="0">
            <x v="6"/>
          </reference>
        </references>
      </pivotArea>
    </format>
    <format dxfId="2898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0"/>
          </reference>
          <reference field="8" count="1">
            <x v="2"/>
          </reference>
          <reference field="12" count="1" selected="0">
            <x v="2"/>
          </reference>
        </references>
      </pivotArea>
    </format>
    <format dxfId="2899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0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90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5"/>
          </reference>
          <reference field="8" count="1">
            <x v="2"/>
          </reference>
          <reference field="12" count="1" selected="0">
            <x v="2"/>
          </reference>
        </references>
      </pivotArea>
    </format>
    <format dxfId="2901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5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90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6"/>
          </reference>
          <reference field="8" count="1">
            <x v="4"/>
          </reference>
          <reference field="12" count="1" selected="0">
            <x v="6"/>
          </reference>
        </references>
      </pivotArea>
    </format>
    <format dxfId="2903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9"/>
          </reference>
          <reference field="8" count="1">
            <x v="2"/>
          </reference>
          <reference field="12" count="1" selected="0">
            <x v="2"/>
          </reference>
        </references>
      </pivotArea>
    </format>
    <format dxfId="290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4"/>
          </reference>
          <reference field="8" count="1">
            <x v="6"/>
          </reference>
          <reference field="12" count="1" selected="0">
            <x v="4"/>
          </reference>
        </references>
      </pivotArea>
    </format>
    <format dxfId="290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4"/>
          </reference>
          <reference field="8" count="1">
            <x v="4"/>
          </reference>
          <reference field="12" count="1" selected="0">
            <x v="6"/>
          </reference>
        </references>
      </pivotArea>
    </format>
    <format dxfId="290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11"/>
          </reference>
          <reference field="8" count="1">
            <x v="2"/>
          </reference>
          <reference field="12" count="1" selected="0">
            <x v="2"/>
          </reference>
        </references>
      </pivotArea>
    </format>
    <format dxfId="2907">
      <pivotArea dataOnly="0" labelOnly="1" outline="0" fieldPosition="0">
        <references count="2">
          <reference field="8" count="1" defaultSubtotal="1">
            <x v="2"/>
          </reference>
          <reference field="12" count="1" selected="0">
            <x v="2"/>
          </reference>
        </references>
      </pivotArea>
    </format>
    <format dxfId="2908">
      <pivotArea dataOnly="0" labelOnly="1" outline="0" fieldPosition="0">
        <references count="2">
          <reference field="8" count="1" defaultSubtotal="1">
            <x v="2"/>
          </reference>
          <reference field="12" count="1" selected="0">
            <x v="2"/>
          </reference>
        </references>
      </pivotArea>
    </format>
    <format dxfId="2909">
      <pivotArea field="14" type="button" dataOnly="0" labelOnly="1" outline="0" axis="axisRow" fieldPosition="6"/>
    </format>
    <format dxfId="2910">
      <pivotArea dataOnly="0" labelOnly="1" grandRow="1" outline="0" fieldPosition="0"/>
    </format>
    <format dxfId="2911">
      <pivotArea dataOnly="0" labelOnly="1" outline="0" fieldPosition="0">
        <references count="2">
          <reference field="8" count="1" defaultSubtotal="1">
            <x v="2"/>
          </reference>
          <reference field="12" count="1" selected="0">
            <x v="2"/>
          </reference>
        </references>
      </pivotArea>
    </format>
    <format dxfId="2912">
      <pivotArea dataOnly="0" labelOnly="1" outline="0" fieldPosition="0">
        <references count="2">
          <reference field="8" count="1" defaultSubtotal="1">
            <x v="3"/>
          </reference>
          <reference field="12" count="1" selected="0">
            <x v="3"/>
          </reference>
        </references>
      </pivotArea>
    </format>
    <format dxfId="2913">
      <pivotArea dataOnly="0" labelOnly="1" outline="0" fieldPosition="0">
        <references count="2">
          <reference field="8" count="1" defaultSubtotal="1">
            <x v="6"/>
          </reference>
          <reference field="12" count="1" selected="0">
            <x v="4"/>
          </reference>
        </references>
      </pivotArea>
    </format>
    <format dxfId="2914">
      <pivotArea dataOnly="0" labelOnly="1" outline="0" fieldPosition="0">
        <references count="2">
          <reference field="8" count="1" defaultSubtotal="1">
            <x v="1"/>
          </reference>
          <reference field="12" count="1" selected="0">
            <x v="5"/>
          </reference>
        </references>
      </pivotArea>
    </format>
    <format dxfId="2915">
      <pivotArea dataOnly="0" labelOnly="1" outline="0" fieldPosition="0">
        <references count="2">
          <reference field="8" count="1" defaultSubtotal="1">
            <x v="4"/>
          </reference>
          <reference field="12" count="1" selected="0">
            <x v="6"/>
          </reference>
        </references>
      </pivotArea>
    </format>
    <format dxfId="291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291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1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291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292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292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292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2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1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2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2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>
            <x v="2"/>
          </reference>
        </references>
      </pivotArea>
    </format>
    <format dxfId="292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2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2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2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3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3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3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3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3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3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4">
            <x v="0"/>
            <x v="1"/>
            <x v="2"/>
            <x v="3"/>
          </reference>
        </references>
      </pivotArea>
    </format>
    <format dxfId="293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3"/>
          </reference>
        </references>
      </pivotArea>
    </format>
    <format dxfId="293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3">
            <x v="0"/>
            <x v="1"/>
            <x v="3"/>
          </reference>
        </references>
      </pivotArea>
    </format>
    <format dxfId="293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3"/>
          </reference>
        </references>
      </pivotArea>
    </format>
    <format dxfId="293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0"/>
          </reference>
        </references>
      </pivotArea>
    </format>
    <format dxfId="294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294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294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294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294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4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294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6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294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4"/>
          </reference>
        </references>
      </pivotArea>
    </format>
    <format dxfId="2947">
      <pivotArea field="14" type="button" dataOnly="0" labelOnly="1" outline="0" axis="axisRow" fieldPosition="6"/>
    </format>
    <format dxfId="2948">
      <pivotArea dataOnly="0" labelOnly="1" grandRow="1" outline="0" fieldPosition="0"/>
    </format>
    <format dxfId="2949">
      <pivotArea dataOnly="0" labelOnly="1" outline="0" fieldPosition="0">
        <references count="2">
          <reference field="8" count="1" defaultSubtotal="1">
            <x v="2"/>
          </reference>
          <reference field="12" count="1" selected="0">
            <x v="2"/>
          </reference>
        </references>
      </pivotArea>
    </format>
    <format dxfId="2950">
      <pivotArea dataOnly="0" labelOnly="1" outline="0" fieldPosition="0">
        <references count="2">
          <reference field="8" count="1" defaultSubtotal="1">
            <x v="3"/>
          </reference>
          <reference field="12" count="1" selected="0">
            <x v="3"/>
          </reference>
        </references>
      </pivotArea>
    </format>
    <format dxfId="2951">
      <pivotArea dataOnly="0" labelOnly="1" outline="0" fieldPosition="0">
        <references count="2">
          <reference field="8" count="1" defaultSubtotal="1">
            <x v="6"/>
          </reference>
          <reference field="12" count="1" selected="0">
            <x v="4"/>
          </reference>
        </references>
      </pivotArea>
    </format>
    <format dxfId="2952">
      <pivotArea dataOnly="0" labelOnly="1" outline="0" fieldPosition="0">
        <references count="2">
          <reference field="8" count="1" defaultSubtotal="1">
            <x v="1"/>
          </reference>
          <reference field="12" count="1" selected="0">
            <x v="5"/>
          </reference>
        </references>
      </pivotArea>
    </format>
    <format dxfId="2953">
      <pivotArea dataOnly="0" labelOnly="1" outline="0" fieldPosition="0">
        <references count="2">
          <reference field="8" count="1" defaultSubtotal="1">
            <x v="4"/>
          </reference>
          <reference field="12" count="1" selected="0">
            <x v="6"/>
          </reference>
        </references>
      </pivotArea>
    </format>
    <format dxfId="295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295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5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295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295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295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296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6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11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6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6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>
            <x v="2"/>
          </reference>
        </references>
      </pivotArea>
    </format>
    <format dxfId="296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6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6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6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6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6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7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7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5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7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297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4">
            <x v="0"/>
            <x v="1"/>
            <x v="2"/>
            <x v="3"/>
          </reference>
        </references>
      </pivotArea>
    </format>
    <format dxfId="297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3"/>
          </reference>
        </references>
      </pivotArea>
    </format>
    <format dxfId="2975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3">
            <x v="0"/>
            <x v="1"/>
            <x v="3"/>
          </reference>
        </references>
      </pivotArea>
    </format>
    <format dxfId="2976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3"/>
          </reference>
        </references>
      </pivotArea>
    </format>
    <format dxfId="297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0"/>
          </reference>
        </references>
      </pivotArea>
    </format>
    <format dxfId="297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297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2980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2981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2982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0"/>
          </reference>
          <reference field="2" count="1" selected="0">
            <x v="14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2983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2"/>
          </reference>
          <reference field="2" count="1" selected="0">
            <x v="6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298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4"/>
          </reference>
        </references>
      </pivotArea>
    </format>
    <format dxfId="2985">
      <pivotArea outline="0" fieldPosition="0">
        <references count="7">
          <reference field="1" count="6" selected="0">
            <x v="1"/>
            <x v="3"/>
            <x v="4"/>
            <x v="12"/>
            <x v="14"/>
            <x v="16"/>
          </reference>
          <reference field="2" count="9" selected="0">
            <x v="0"/>
            <x v="1"/>
            <x v="4"/>
            <x v="5"/>
            <x v="7"/>
            <x v="9"/>
            <x v="11"/>
            <x v="13"/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2" selected="0">
            <x v="1"/>
            <x v="2"/>
          </reference>
          <reference field="15" count="5" selected="0">
            <x v="5"/>
            <x v="8"/>
            <x v="9"/>
            <x v="10"/>
            <x v="11"/>
          </reference>
          <reference field="20" count="1" selected="0">
            <x v="1"/>
          </reference>
        </references>
      </pivotArea>
    </format>
    <format dxfId="2986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298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1"/>
          </reference>
        </references>
      </pivotArea>
    </format>
    <format dxfId="2988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</references>
      </pivotArea>
    </format>
    <format dxfId="2989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2">
            <x v="1"/>
            <x v="2"/>
          </reference>
        </references>
      </pivotArea>
    </format>
    <format dxfId="299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299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</references>
      </pivotArea>
    </format>
    <format dxfId="2992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2">
            <x v="9"/>
            <x v="10"/>
          </reference>
        </references>
      </pivotArea>
    </format>
    <format dxfId="2993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2994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5"/>
          </reference>
        </references>
      </pivotArea>
    </format>
    <format dxfId="2995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2">
            <x v="8"/>
            <x v="9"/>
          </reference>
        </references>
      </pivotArea>
    </format>
    <format dxfId="2996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</references>
      </pivotArea>
    </format>
    <format dxfId="2997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9"/>
          </reference>
        </references>
      </pivotArea>
    </format>
    <format dxfId="2998">
      <pivotArea dataOnly="0" labelOnly="1" outline="0" fieldPosition="0">
        <references count="6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1"/>
          </reference>
        </references>
      </pivotArea>
    </format>
    <format dxfId="2999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00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20" count="1">
            <x v="1"/>
          </reference>
        </references>
      </pivotArea>
    </format>
    <format dxfId="3001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02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20" count="1">
            <x v="1"/>
          </reference>
        </references>
      </pivotArea>
    </format>
    <format dxfId="3003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04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05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06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5"/>
          </reference>
          <reference field="20" count="1">
            <x v="1"/>
          </reference>
        </references>
      </pivotArea>
    </format>
    <format dxfId="3007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20" count="1">
            <x v="1"/>
          </reference>
        </references>
      </pivotArea>
    </format>
    <format dxfId="3008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09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20" count="1">
            <x v="1"/>
          </reference>
        </references>
      </pivotArea>
    </format>
    <format dxfId="3010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11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1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12">
      <pivotArea dataOnly="0" labelOnly="1" outline="0" fieldPosition="0">
        <references count="7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13">
      <pivotArea dataOnly="0" labelOnly="1" outline="0" fieldPosition="0">
        <references count="7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20" count="1">
            <x v="1"/>
          </reference>
        </references>
      </pivotArea>
    </format>
    <format dxfId="3014">
      <pivotArea outline="0" fieldPosition="0">
        <references count="7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9"/>
          </reference>
          <reference field="20" count="1" selected="0">
            <x v="1"/>
          </reference>
        </references>
      </pivotArea>
    </format>
    <format dxfId="3015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>
            <x v="2"/>
          </reference>
        </references>
      </pivotArea>
    </format>
    <format dxfId="3016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>
            <x v="9"/>
          </reference>
        </references>
      </pivotArea>
    </format>
    <format dxfId="301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9"/>
          </reference>
          <reference field="20" count="1">
            <x v="1"/>
          </reference>
        </references>
      </pivotArea>
    </format>
    <format dxfId="3018">
      <pivotArea outline="0" fieldPosition="0">
        <references count="7">
          <reference field="1" count="7" selected="0">
            <x v="1"/>
            <x v="3"/>
            <x v="4"/>
            <x v="9"/>
            <x v="10"/>
            <x v="12"/>
            <x v="14"/>
          </reference>
          <reference field="2" count="9" selected="0">
            <x v="0"/>
            <x v="1"/>
            <x v="2"/>
            <x v="3"/>
            <x v="4"/>
            <x v="5"/>
            <x v="8"/>
            <x v="12"/>
            <x v="15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4" selected="0">
            <x v="7"/>
            <x v="8"/>
            <x v="9"/>
            <x v="10"/>
          </reference>
          <reference field="20" count="1" selected="0">
            <x v="4"/>
          </reference>
        </references>
      </pivotArea>
    </format>
    <format dxfId="3019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</references>
      </pivotArea>
    </format>
    <format dxfId="3020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3021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8"/>
          </reference>
        </references>
      </pivotArea>
    </format>
    <format dxfId="3022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3023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8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7"/>
          </reference>
        </references>
      </pivotArea>
    </format>
    <format dxfId="3024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</references>
      </pivotArea>
    </format>
    <format dxfId="3025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0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10"/>
          </reference>
        </references>
      </pivotArea>
    </format>
    <format dxfId="3026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2">
            <x v="8"/>
            <x v="9"/>
          </reference>
        </references>
      </pivotArea>
    </format>
    <format dxfId="3027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3028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20" count="1">
            <x v="4"/>
          </reference>
        </references>
      </pivotArea>
    </format>
    <format dxfId="3029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3030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3031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7"/>
          </reference>
          <reference field="20" count="1">
            <x v="4"/>
          </reference>
        </references>
      </pivotArea>
    </format>
    <format dxfId="3032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3033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20" count="1">
            <x v="4"/>
          </reference>
        </references>
      </pivotArea>
    </format>
    <format dxfId="3034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20" count="1">
            <x v="4"/>
          </reference>
        </references>
      </pivotArea>
    </format>
    <format dxfId="3035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20" count="1">
            <x v="4"/>
          </reference>
        </references>
      </pivotArea>
    </format>
    <format dxfId="3036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20" count="1">
            <x v="4"/>
          </reference>
        </references>
      </pivotArea>
    </format>
    <format dxfId="3037">
      <pivotArea outline="0" fieldPosition="0">
        <references count="7">
          <reference field="1" count="4" selected="0">
            <x v="3"/>
            <x v="4"/>
            <x v="9"/>
            <x v="10"/>
          </reference>
          <reference field="2" count="5" selected="0">
            <x v="2"/>
            <x v="7"/>
            <x v="8"/>
            <x v="12"/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4" selected="0">
            <x v="0"/>
            <x v="1"/>
            <x v="2"/>
            <x v="3"/>
          </reference>
          <reference field="15" count="6" selected="0">
            <x v="2"/>
            <x v="3"/>
            <x v="4"/>
            <x v="5"/>
            <x v="6"/>
            <x v="8"/>
          </reference>
          <reference field="20" count="2" selected="0">
            <x v="0"/>
            <x v="4"/>
          </reference>
        </references>
      </pivotArea>
    </format>
    <format dxfId="3038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4">
            <x v="0"/>
            <x v="1"/>
            <x v="2"/>
            <x v="3"/>
          </reference>
        </references>
      </pivotArea>
    </format>
    <format dxfId="3039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3">
            <x v="0"/>
            <x v="1"/>
            <x v="3"/>
          </reference>
        </references>
      </pivotArea>
    </format>
    <format dxfId="3040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0"/>
          </reference>
        </references>
      </pivotArea>
    </format>
    <format dxfId="3041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</references>
      </pivotArea>
    </format>
    <format dxfId="3042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2">
            <x v="4"/>
            <x v="6"/>
          </reference>
        </references>
      </pivotArea>
    </format>
    <format dxfId="3043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2"/>
          </reference>
          <reference field="15" count="1">
            <x v="2"/>
          </reference>
        </references>
      </pivotArea>
    </format>
    <format dxfId="3044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</references>
      </pivotArea>
    </format>
    <format dxfId="3045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</references>
      </pivotArea>
    </format>
    <format dxfId="3046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>
            <x v="6"/>
          </reference>
        </references>
      </pivotArea>
    </format>
    <format dxfId="3047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</references>
      </pivotArea>
    </format>
    <format dxfId="3048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8"/>
          </reference>
        </references>
      </pivotArea>
    </format>
    <format dxfId="3049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20" count="1">
            <x v="4"/>
          </reference>
        </references>
      </pivotArea>
    </format>
    <format dxfId="305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4"/>
          </reference>
          <reference field="20" count="1">
            <x v="4"/>
          </reference>
        </references>
      </pivotArea>
    </format>
    <format dxfId="3051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6"/>
          </reference>
          <reference field="20" count="1">
            <x v="0"/>
          </reference>
        </references>
      </pivotArea>
    </format>
    <format dxfId="3052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2"/>
          </reference>
          <reference field="15" count="1" selected="0">
            <x v="2"/>
          </reference>
          <reference field="20" count="1">
            <x v="4"/>
          </reference>
        </references>
      </pivotArea>
    </format>
    <format dxfId="3053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20" count="1">
            <x v="4"/>
          </reference>
        </references>
      </pivotArea>
    </format>
    <format dxfId="3054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20" count="1">
            <x v="4"/>
          </reference>
        </references>
      </pivotArea>
    </format>
    <format dxfId="3055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20" count="1">
            <x v="4"/>
          </reference>
        </references>
      </pivotArea>
    </format>
    <format dxfId="3056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6"/>
          </reference>
          <reference field="20" count="1">
            <x v="4"/>
          </reference>
        </references>
      </pivotArea>
    </format>
    <format dxfId="3057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20" count="1">
            <x v="4"/>
          </reference>
        </references>
      </pivotArea>
    </format>
    <format dxfId="3058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20" count="1">
            <x v="4"/>
          </reference>
        </references>
      </pivotArea>
    </format>
    <format dxfId="3059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8"/>
          </reference>
          <reference field="20" count="1">
            <x v="4"/>
          </reference>
        </references>
      </pivotArea>
    </format>
    <format dxfId="3060">
      <pivotArea outline="0" fieldPosition="0">
        <references count="7">
          <reference field="1" count="6" selected="0">
            <x v="3"/>
            <x v="4"/>
            <x v="9"/>
            <x v="10"/>
            <x v="12"/>
            <x v="14"/>
          </reference>
          <reference field="2" count="7" selected="0">
            <x v="2"/>
            <x v="3"/>
            <x v="4"/>
            <x v="6"/>
            <x v="12"/>
            <x v="14"/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3" selected="0">
            <x v="0"/>
            <x v="1"/>
            <x v="4"/>
          </reference>
          <reference field="15" count="4" selected="0">
            <x v="0"/>
            <x v="1"/>
            <x v="2"/>
            <x v="12"/>
          </reference>
          <reference field="20" count="3" selected="0">
            <x v="2"/>
            <x v="3"/>
            <x v="4"/>
          </reference>
        </references>
      </pivotArea>
    </format>
    <format dxfId="3061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306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3063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3064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4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</references>
      </pivotArea>
    </format>
    <format dxfId="3065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6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</references>
      </pivotArea>
    </format>
    <format dxfId="3066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4"/>
          </reference>
        </references>
      </pivotArea>
    </format>
    <format dxfId="3067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</references>
      </pivotArea>
    </format>
    <format dxfId="3068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>
            <x v="2"/>
          </reference>
        </references>
      </pivotArea>
    </format>
    <format dxfId="3069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2">
            <x v="0"/>
            <x v="2"/>
          </reference>
        </references>
      </pivotArea>
    </format>
    <format dxfId="3070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6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</references>
      </pivotArea>
    </format>
    <format dxfId="3071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4"/>
          </reference>
          <reference field="15" count="1">
            <x v="12"/>
          </reference>
        </references>
      </pivotArea>
    </format>
    <format dxfId="3072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20" count="1">
            <x v="2"/>
          </reference>
        </references>
      </pivotArea>
    </format>
    <format dxfId="3073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20" count="1">
            <x v="2"/>
          </reference>
        </references>
      </pivotArea>
    </format>
    <format dxfId="3074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0"/>
          </reference>
          <reference field="20" count="1">
            <x v="2"/>
          </reference>
        </references>
      </pivotArea>
    </format>
    <format dxfId="3075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20" count="1">
            <x v="4"/>
          </reference>
        </references>
      </pivotArea>
    </format>
    <format dxfId="3076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2"/>
          </reference>
          <reference field="20" count="1">
            <x v="4"/>
          </reference>
        </references>
      </pivotArea>
    </format>
    <format dxfId="3077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4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20" count="1">
            <x v="4"/>
          </reference>
        </references>
      </pivotArea>
    </format>
    <format dxfId="3078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6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20" count="1">
            <x v="3"/>
          </reference>
        </references>
      </pivotArea>
    </format>
    <format dxfId="3079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4"/>
          </reference>
          <reference field="15" count="1" selected="0">
            <x v="12"/>
          </reference>
          <reference field="20" count="1">
            <x v="2"/>
          </reference>
        </references>
      </pivotArea>
    </format>
    <format dxfId="3080">
      <pivotArea outline="0" fieldPosition="0">
        <references count="8">
          <reference field="1" count="6" selected="0">
            <x v="1"/>
            <x v="3"/>
            <x v="4"/>
            <x v="12"/>
            <x v="14"/>
            <x v="16"/>
          </reference>
          <reference field="2" count="9" selected="0">
            <x v="0"/>
            <x v="1"/>
            <x v="4"/>
            <x v="5"/>
            <x v="7"/>
            <x v="9"/>
            <x v="11"/>
            <x v="13"/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2" selected="0">
            <x v="1"/>
            <x v="2"/>
          </reference>
          <reference field="15" count="5" selected="0">
            <x v="5"/>
            <x v="8"/>
            <x v="9"/>
            <x v="10"/>
            <x v="11"/>
          </reference>
          <reference field="17" count="2" selected="0">
            <x v="0"/>
            <x v="1"/>
          </reference>
          <reference field="20" count="1" selected="0">
            <x v="1"/>
          </reference>
        </references>
      </pivotArea>
    </format>
    <format dxfId="3081">
      <pivotArea outline="0" fieldPosition="0">
        <references count="8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 selected="0">
            <x v="1"/>
          </reference>
        </references>
      </pivotArea>
    </format>
    <format dxfId="3082">
      <pivotArea outline="0" fieldPosition="0">
        <references count="8">
          <reference field="1" count="7" selected="0">
            <x v="1"/>
            <x v="3"/>
            <x v="4"/>
            <x v="9"/>
            <x v="10"/>
            <x v="12"/>
            <x v="14"/>
          </reference>
          <reference field="2" count="9" selected="0">
            <x v="0"/>
            <x v="1"/>
            <x v="2"/>
            <x v="3"/>
            <x v="4"/>
            <x v="5"/>
            <x v="8"/>
            <x v="12"/>
            <x v="15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4" selected="0">
            <x v="7"/>
            <x v="8"/>
            <x v="9"/>
            <x v="10"/>
          </reference>
          <reference field="17" count="2" selected="0">
            <x v="0"/>
            <x v="1"/>
          </reference>
          <reference field="20" count="1" selected="0">
            <x v="4"/>
          </reference>
        </references>
      </pivotArea>
    </format>
    <format dxfId="3083">
      <pivotArea outline="0" fieldPosition="0">
        <references count="8">
          <reference field="1" count="4" selected="0">
            <x v="3"/>
            <x v="4"/>
            <x v="9"/>
            <x v="10"/>
          </reference>
          <reference field="2" count="5" selected="0">
            <x v="2"/>
            <x v="7"/>
            <x v="8"/>
            <x v="12"/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4" selected="0">
            <x v="0"/>
            <x v="1"/>
            <x v="2"/>
            <x v="3"/>
          </reference>
          <reference field="15" count="6" selected="0">
            <x v="2"/>
            <x v="3"/>
            <x v="4"/>
            <x v="5"/>
            <x v="6"/>
            <x v="8"/>
          </reference>
          <reference field="17" count="0" selected="0"/>
          <reference field="20" count="2" selected="0">
            <x v="0"/>
            <x v="4"/>
          </reference>
        </references>
      </pivotArea>
    </format>
    <format dxfId="3084">
      <pivotArea outline="0" collapsedLevelsAreSubtotals="1" fieldPosition="0"/>
    </format>
    <format dxfId="3085">
      <pivotArea outline="0" fieldPosition="0">
        <references count="8">
          <reference field="1" count="6" selected="0">
            <x v="3"/>
            <x v="4"/>
            <x v="9"/>
            <x v="10"/>
            <x v="12"/>
            <x v="14"/>
          </reference>
          <reference field="2" count="7" selected="0">
            <x v="2"/>
            <x v="3"/>
            <x v="4"/>
            <x v="6"/>
            <x v="12"/>
            <x v="14"/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3" selected="0">
            <x v="0"/>
            <x v="1"/>
            <x v="4"/>
          </reference>
          <reference field="15" count="4" selected="0">
            <x v="0"/>
            <x v="1"/>
            <x v="2"/>
            <x v="12"/>
          </reference>
          <reference field="17" count="1" selected="0">
            <x v="0"/>
          </reference>
          <reference field="20" count="3" selected="0">
            <x v="2"/>
            <x v="3"/>
            <x v="4"/>
          </reference>
        </references>
      </pivotArea>
    </format>
    <format dxfId="3086">
      <pivotArea outline="0" fieldPosition="0">
        <references count="2">
          <reference field="8" count="0" selected="0" defaultSubtotal="1"/>
          <reference field="12" count="0" selected="0"/>
        </references>
      </pivotArea>
    </format>
    <format dxfId="3087">
      <pivotArea outline="0" collapsedLevelsAreSubtotals="1" fieldPosition="0"/>
    </format>
    <format dxfId="3088">
      <pivotArea field="12" type="button" dataOnly="0" labelOnly="1" outline="0" axis="axisRow" fieldPosition="0"/>
    </format>
    <format dxfId="3089">
      <pivotArea field="8" type="button" dataOnly="0" labelOnly="1" outline="0" axis="axisRow" fieldPosition="1"/>
    </format>
    <format dxfId="3090">
      <pivotArea field="1" type="button" dataOnly="0" labelOnly="1" outline="0" axis="axisRow" fieldPosition="2"/>
    </format>
    <format dxfId="3091">
      <pivotArea field="2" type="button" dataOnly="0" labelOnly="1" outline="0" axis="axisRow" fieldPosition="3"/>
    </format>
    <format dxfId="3092">
      <pivotArea field="17" type="button" dataOnly="0" labelOnly="1" outline="0" axis="axisRow" fieldPosition="4"/>
    </format>
    <format dxfId="3093">
      <pivotArea field="14" type="button" dataOnly="0" labelOnly="1" outline="0" axis="axisRow" fieldPosition="6"/>
    </format>
    <format dxfId="3094">
      <pivotArea field="15" type="button" dataOnly="0" labelOnly="1" outline="0" axis="axisRow" fieldPosition="7"/>
    </format>
    <format dxfId="3095">
      <pivotArea field="20" type="button" dataOnly="0" labelOnly="1" outline="0" axis="axisRow" fieldPosition="8"/>
    </format>
    <format dxfId="3096">
      <pivotArea dataOnly="0" labelOnly="1" outline="0" fieldPosition="0">
        <references count="1">
          <reference field="12" count="0"/>
        </references>
      </pivotArea>
    </format>
    <format dxfId="3097">
      <pivotArea dataOnly="0" labelOnly="1" grandRow="1" outline="0" fieldPosition="0"/>
    </format>
    <format dxfId="3098">
      <pivotArea dataOnly="0" labelOnly="1" outline="0" fieldPosition="0">
        <references count="2">
          <reference field="8" count="1">
            <x v="2"/>
          </reference>
          <reference field="12" count="1" selected="0">
            <x v="2"/>
          </reference>
        </references>
      </pivotArea>
    </format>
    <format dxfId="3099">
      <pivotArea dataOnly="0" labelOnly="1" outline="0" fieldPosition="0">
        <references count="2">
          <reference field="8" count="1" defaultSubtotal="1">
            <x v="2"/>
          </reference>
          <reference field="12" count="1" selected="0">
            <x v="2"/>
          </reference>
        </references>
      </pivotArea>
    </format>
    <format dxfId="3100">
      <pivotArea dataOnly="0" labelOnly="1" outline="0" fieldPosition="0">
        <references count="2">
          <reference field="8" count="1">
            <x v="3"/>
          </reference>
          <reference field="12" count="1" selected="0">
            <x v="3"/>
          </reference>
        </references>
      </pivotArea>
    </format>
    <format dxfId="3101">
      <pivotArea dataOnly="0" labelOnly="1" outline="0" fieldPosition="0">
        <references count="2">
          <reference field="8" count="1" defaultSubtotal="1">
            <x v="3"/>
          </reference>
          <reference field="12" count="1" selected="0">
            <x v="3"/>
          </reference>
        </references>
      </pivotArea>
    </format>
    <format dxfId="3102">
      <pivotArea dataOnly="0" labelOnly="1" outline="0" fieldPosition="0">
        <references count="2">
          <reference field="8" count="1">
            <x v="6"/>
          </reference>
          <reference field="12" count="1" selected="0">
            <x v="4"/>
          </reference>
        </references>
      </pivotArea>
    </format>
    <format dxfId="3103">
      <pivotArea dataOnly="0" labelOnly="1" outline="0" fieldPosition="0">
        <references count="2">
          <reference field="8" count="1" defaultSubtotal="1">
            <x v="6"/>
          </reference>
          <reference field="12" count="1" selected="0">
            <x v="4"/>
          </reference>
        </references>
      </pivotArea>
    </format>
    <format dxfId="3104">
      <pivotArea dataOnly="0" labelOnly="1" outline="0" fieldPosition="0">
        <references count="2">
          <reference field="8" count="1">
            <x v="1"/>
          </reference>
          <reference field="12" count="1" selected="0">
            <x v="5"/>
          </reference>
        </references>
      </pivotArea>
    </format>
    <format dxfId="3105">
      <pivotArea dataOnly="0" labelOnly="1" outline="0" fieldPosition="0">
        <references count="2">
          <reference field="8" count="1" defaultSubtotal="1">
            <x v="1"/>
          </reference>
          <reference field="12" count="1" selected="0">
            <x v="5"/>
          </reference>
        </references>
      </pivotArea>
    </format>
    <format dxfId="3106">
      <pivotArea dataOnly="0" labelOnly="1" outline="0" fieldPosition="0">
        <references count="2">
          <reference field="8" count="1">
            <x v="4"/>
          </reference>
          <reference field="12" count="1" selected="0">
            <x v="6"/>
          </reference>
        </references>
      </pivotArea>
    </format>
    <format dxfId="3107">
      <pivotArea dataOnly="0" labelOnly="1" outline="0" fieldPosition="0">
        <references count="2">
          <reference field="8" count="1" defaultSubtotal="1">
            <x v="4"/>
          </reference>
          <reference field="12" count="1" selected="0">
            <x v="6"/>
          </reference>
        </references>
      </pivotArea>
    </format>
    <format dxfId="3108">
      <pivotArea dataOnly="0" labelOnly="1" outline="0" fieldPosition="0">
        <references count="3">
          <reference field="1" count="6">
            <x v="1"/>
            <x v="3"/>
            <x v="4"/>
            <x v="12"/>
            <x v="14"/>
            <x v="16"/>
          </reference>
          <reference field="8" count="1" selected="0">
            <x v="2"/>
          </reference>
          <reference field="12" count="1" selected="0">
            <x v="2"/>
          </reference>
        </references>
      </pivotArea>
    </format>
    <format dxfId="3109">
      <pivotArea dataOnly="0" labelOnly="1" outline="0" fieldPosition="0">
        <references count="3">
          <reference field="1" count="1">
            <x v="3"/>
          </reference>
          <reference field="8" count="1" selected="0">
            <x v="3"/>
          </reference>
          <reference field="12" count="1" selected="0">
            <x v="3"/>
          </reference>
        </references>
      </pivotArea>
    </format>
    <format dxfId="3110">
      <pivotArea dataOnly="0" labelOnly="1" outline="0" fieldPosition="0">
        <references count="3">
          <reference field="1" count="7">
            <x v="1"/>
            <x v="3"/>
            <x v="4"/>
            <x v="9"/>
            <x v="10"/>
            <x v="12"/>
            <x v="14"/>
          </reference>
          <reference field="8" count="1" selected="0">
            <x v="6"/>
          </reference>
          <reference field="12" count="1" selected="0">
            <x v="4"/>
          </reference>
        </references>
      </pivotArea>
    </format>
    <format dxfId="3111">
      <pivotArea dataOnly="0" labelOnly="1" outline="0" fieldPosition="0">
        <references count="3">
          <reference field="1" count="4">
            <x v="3"/>
            <x v="4"/>
            <x v="9"/>
            <x v="10"/>
          </reference>
          <reference field="8" count="1" selected="0">
            <x v="1"/>
          </reference>
          <reference field="12" count="1" selected="0">
            <x v="5"/>
          </reference>
        </references>
      </pivotArea>
    </format>
    <format dxfId="3112">
      <pivotArea dataOnly="0" labelOnly="1" outline="0" fieldPosition="0">
        <references count="3">
          <reference field="1" count="6">
            <x v="3"/>
            <x v="4"/>
            <x v="9"/>
            <x v="10"/>
            <x v="12"/>
            <x v="14"/>
          </reference>
          <reference field="8" count="1" selected="0">
            <x v="4"/>
          </reference>
          <reference field="12" count="1" selected="0">
            <x v="6"/>
          </reference>
        </references>
      </pivotArea>
    </format>
    <format dxfId="3113">
      <pivotArea dataOnly="0" labelOnly="1" outline="0" fieldPosition="0">
        <references count="4">
          <reference field="1" count="1" selected="0">
            <x v="1"/>
          </reference>
          <reference field="2" count="1">
            <x v="1"/>
          </reference>
          <reference field="8" count="1" selected="0">
            <x v="2"/>
          </reference>
          <reference field="12" count="1" selected="0">
            <x v="2"/>
          </reference>
        </references>
      </pivotArea>
    </format>
    <format dxfId="3114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2"/>
          </reference>
          <reference field="12" count="1" selected="0">
            <x v="2"/>
          </reference>
        </references>
      </pivotArea>
    </format>
    <format dxfId="3115">
      <pivotArea dataOnly="0" labelOnly="1" outline="0" fieldPosition="0">
        <references count="4">
          <reference field="1" count="1" selected="0">
            <x v="4"/>
          </reference>
          <reference field="2" count="1">
            <x v="7"/>
          </reference>
          <reference field="8" count="1" selected="0">
            <x v="2"/>
          </reference>
          <reference field="12" count="1" selected="0">
            <x v="2"/>
          </reference>
        </references>
      </pivotArea>
    </format>
    <format dxfId="3116">
      <pivotArea dataOnly="0" labelOnly="1" outline="0" fieldPosition="0">
        <references count="4">
          <reference field="1" count="1" selected="0">
            <x v="12"/>
          </reference>
          <reference field="2" count="3">
            <x v="0"/>
            <x v="5"/>
            <x v="9"/>
          </reference>
          <reference field="8" count="1" selected="0">
            <x v="2"/>
          </reference>
          <reference field="12" count="1" selected="0">
            <x v="2"/>
          </reference>
        </references>
      </pivotArea>
    </format>
    <format dxfId="3117">
      <pivotArea dataOnly="0" labelOnly="1" outline="0" fieldPosition="0">
        <references count="4">
          <reference field="1" count="1" selected="0">
            <x v="14"/>
          </reference>
          <reference field="2" count="2">
            <x v="4"/>
            <x v="11"/>
          </reference>
          <reference field="8" count="1" selected="0">
            <x v="2"/>
          </reference>
          <reference field="12" count="1" selected="0">
            <x v="2"/>
          </reference>
        </references>
      </pivotArea>
    </format>
    <format dxfId="3118">
      <pivotArea dataOnly="0" labelOnly="1" outline="0" fieldPosition="0">
        <references count="4">
          <reference field="1" count="1" selected="0">
            <x v="16"/>
          </reference>
          <reference field="2" count="1">
            <x v="13"/>
          </reference>
          <reference field="8" count="1" selected="0">
            <x v="2"/>
          </reference>
          <reference field="12" count="1" selected="0">
            <x v="2"/>
          </reference>
        </references>
      </pivotArea>
    </format>
    <format dxfId="3119">
      <pivotArea dataOnly="0" labelOnly="1" outline="0" fieldPosition="0">
        <references count="4">
          <reference field="1" count="1" selected="0">
            <x v="3"/>
          </reference>
          <reference field="2" count="1">
            <x v="10"/>
          </reference>
          <reference field="8" count="1" selected="0">
            <x v="3"/>
          </reference>
          <reference field="12" count="1" selected="0">
            <x v="3"/>
          </reference>
        </references>
      </pivotArea>
    </format>
    <format dxfId="3120">
      <pivotArea dataOnly="0" labelOnly="1" outline="0" fieldPosition="0">
        <references count="4">
          <reference field="1" count="1" selected="0">
            <x v="1"/>
          </reference>
          <reference field="2" count="1">
            <x v="1"/>
          </reference>
          <reference field="8" count="1" selected="0">
            <x v="6"/>
          </reference>
          <reference field="12" count="1" selected="0">
            <x v="4"/>
          </reference>
        </references>
      </pivotArea>
    </format>
    <format dxfId="3121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6"/>
          </reference>
          <reference field="12" count="1" selected="0">
            <x v="4"/>
          </reference>
        </references>
      </pivotArea>
    </format>
    <format dxfId="3122">
      <pivotArea dataOnly="0" labelOnly="1" outline="0" fieldPosition="0">
        <references count="4">
          <reference field="1" count="1" selected="0">
            <x v="4"/>
          </reference>
          <reference field="2" count="1">
            <x v="3"/>
          </reference>
          <reference field="8" count="1" selected="0">
            <x v="6"/>
          </reference>
          <reference field="12" count="1" selected="0">
            <x v="4"/>
          </reference>
        </references>
      </pivotArea>
    </format>
    <format dxfId="3123">
      <pivotArea dataOnly="0" labelOnly="1" outline="0" fieldPosition="0">
        <references count="4">
          <reference field="1" count="1" selected="0">
            <x v="9"/>
          </reference>
          <reference field="2" count="2">
            <x v="2"/>
            <x v="8"/>
          </reference>
          <reference field="8" count="1" selected="0">
            <x v="6"/>
          </reference>
          <reference field="12" count="1" selected="0">
            <x v="4"/>
          </reference>
        </references>
      </pivotArea>
    </format>
    <format dxfId="3124">
      <pivotArea dataOnly="0" labelOnly="1" outline="0" fieldPosition="0">
        <references count="4">
          <reference field="1" count="1" selected="0">
            <x v="10"/>
          </reference>
          <reference field="2" count="1">
            <x v="12"/>
          </reference>
          <reference field="8" count="1" selected="0">
            <x v="6"/>
          </reference>
          <reference field="12" count="1" selected="0">
            <x v="4"/>
          </reference>
        </references>
      </pivotArea>
    </format>
    <format dxfId="3125">
      <pivotArea dataOnly="0" labelOnly="1" outline="0" fieldPosition="0">
        <references count="4">
          <reference field="1" count="1" selected="0">
            <x v="12"/>
          </reference>
          <reference field="2" count="2">
            <x v="0"/>
            <x v="5"/>
          </reference>
          <reference field="8" count="1" selected="0">
            <x v="6"/>
          </reference>
          <reference field="12" count="1" selected="0">
            <x v="4"/>
          </reference>
        </references>
      </pivotArea>
    </format>
    <format dxfId="3126">
      <pivotArea dataOnly="0" labelOnly="1" outline="0" fieldPosition="0">
        <references count="4">
          <reference field="1" count="1" selected="0">
            <x v="14"/>
          </reference>
          <reference field="2" count="1">
            <x v="4"/>
          </reference>
          <reference field="8" count="1" selected="0">
            <x v="6"/>
          </reference>
          <reference field="12" count="1" selected="0">
            <x v="4"/>
          </reference>
        </references>
      </pivotArea>
    </format>
    <format dxfId="3127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1"/>
          </reference>
          <reference field="12" count="1" selected="0">
            <x v="5"/>
          </reference>
        </references>
      </pivotArea>
    </format>
    <format dxfId="3128">
      <pivotArea dataOnly="0" labelOnly="1" outline="0" fieldPosition="0">
        <references count="4">
          <reference field="1" count="1" selected="0">
            <x v="4"/>
          </reference>
          <reference field="2" count="1">
            <x v="7"/>
          </reference>
          <reference field="8" count="1" selected="0">
            <x v="1"/>
          </reference>
          <reference field="12" count="1" selected="0">
            <x v="5"/>
          </reference>
        </references>
      </pivotArea>
    </format>
    <format dxfId="3129">
      <pivotArea dataOnly="0" labelOnly="1" outline="0" fieldPosition="0">
        <references count="4">
          <reference field="1" count="1" selected="0">
            <x v="9"/>
          </reference>
          <reference field="2" count="2">
            <x v="2"/>
            <x v="8"/>
          </reference>
          <reference field="8" count="1" selected="0">
            <x v="1"/>
          </reference>
          <reference field="12" count="1" selected="0">
            <x v="5"/>
          </reference>
        </references>
      </pivotArea>
    </format>
    <format dxfId="3130">
      <pivotArea dataOnly="0" labelOnly="1" outline="0" fieldPosition="0">
        <references count="4">
          <reference field="1" count="1" selected="0">
            <x v="10"/>
          </reference>
          <reference field="2" count="1">
            <x v="12"/>
          </reference>
          <reference field="8" count="1" selected="0">
            <x v="1"/>
          </reference>
          <reference field="12" count="1" selected="0">
            <x v="5"/>
          </reference>
        </references>
      </pivotArea>
    </format>
    <format dxfId="3131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1" selected="0">
            <x v="4"/>
          </reference>
          <reference field="12" count="1" selected="0">
            <x v="6"/>
          </reference>
        </references>
      </pivotArea>
    </format>
    <format dxfId="3132">
      <pivotArea dataOnly="0" labelOnly="1" outline="0" fieldPosition="0">
        <references count="4">
          <reference field="1" count="1" selected="0">
            <x v="4"/>
          </reference>
          <reference field="2" count="1">
            <x v="3"/>
          </reference>
          <reference field="8" count="1" selected="0">
            <x v="4"/>
          </reference>
          <reference field="12" count="1" selected="0">
            <x v="6"/>
          </reference>
        </references>
      </pivotArea>
    </format>
    <format dxfId="3133">
      <pivotArea dataOnly="0" labelOnly="1" outline="0" fieldPosition="0">
        <references count="4">
          <reference field="1" count="1" selected="0">
            <x v="9"/>
          </reference>
          <reference field="2" count="1">
            <x v="2"/>
          </reference>
          <reference field="8" count="1" selected="0">
            <x v="4"/>
          </reference>
          <reference field="12" count="1" selected="0">
            <x v="6"/>
          </reference>
        </references>
      </pivotArea>
    </format>
    <format dxfId="3134">
      <pivotArea dataOnly="0" labelOnly="1" outline="0" fieldPosition="0">
        <references count="4">
          <reference field="1" count="1" selected="0">
            <x v="10"/>
          </reference>
          <reference field="2" count="2">
            <x v="12"/>
            <x v="14"/>
          </reference>
          <reference field="8" count="1" selected="0">
            <x v="4"/>
          </reference>
          <reference field="12" count="1" selected="0">
            <x v="6"/>
          </reference>
        </references>
      </pivotArea>
    </format>
    <format dxfId="3135">
      <pivotArea dataOnly="0" labelOnly="1" outline="0" fieldPosition="0">
        <references count="4">
          <reference field="1" count="1" selected="0">
            <x v="12"/>
          </reference>
          <reference field="2" count="1">
            <x v="6"/>
          </reference>
          <reference field="8" count="1" selected="0">
            <x v="4"/>
          </reference>
          <reference field="12" count="1" selected="0">
            <x v="6"/>
          </reference>
        </references>
      </pivotArea>
    </format>
    <format dxfId="3136">
      <pivotArea dataOnly="0" labelOnly="1" outline="0" fieldPosition="0">
        <references count="4">
          <reference field="1" count="1" selected="0">
            <x v="14"/>
          </reference>
          <reference field="2" count="1">
            <x v="4"/>
          </reference>
          <reference field="8" count="1" selected="0">
            <x v="4"/>
          </reference>
          <reference field="12" count="1" selected="0">
            <x v="6"/>
          </reference>
        </references>
      </pivotArea>
    </format>
    <format dxfId="3137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7" count="2">
            <x v="0"/>
            <x v="1"/>
          </reference>
        </references>
      </pivotArea>
    </format>
    <format dxfId="3138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7" count="2">
            <x v="0"/>
            <x v="1"/>
          </reference>
        </references>
      </pivotArea>
    </format>
    <format dxfId="313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7" count="1">
            <x v="0"/>
          </reference>
        </references>
      </pivotArea>
    </format>
    <format dxfId="3140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7" count="1">
            <x v="1"/>
          </reference>
        </references>
      </pivotArea>
    </format>
    <format dxfId="3141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7" count="2">
            <x v="0"/>
            <x v="1"/>
          </reference>
        </references>
      </pivotArea>
    </format>
    <format dxfId="3142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8" count="1" selected="0">
            <x v="2"/>
          </reference>
          <reference field="12" count="1" selected="0">
            <x v="2"/>
          </reference>
          <reference field="17" count="1">
            <x v="0"/>
          </reference>
        </references>
      </pivotArea>
    </format>
    <format dxfId="3143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7" count="1">
            <x v="1"/>
          </reference>
        </references>
      </pivotArea>
    </format>
    <format dxfId="3144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7" count="1">
            <x v="0"/>
          </reference>
        </references>
      </pivotArea>
    </format>
    <format dxfId="314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7" count="1">
            <x v="0"/>
          </reference>
        </references>
      </pivotArea>
    </format>
    <format dxfId="3146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0"/>
          </reference>
          <reference field="8" count="1" selected="0">
            <x v="6"/>
          </reference>
          <reference field="12" count="1" selected="0">
            <x v="4"/>
          </reference>
          <reference field="17" count="1">
            <x v="1"/>
          </reference>
        </references>
      </pivotArea>
    </format>
    <format dxfId="3147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7" count="1">
            <x v="0"/>
          </reference>
        </references>
      </pivotArea>
    </format>
    <format dxfId="3148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7" count="0"/>
        </references>
      </pivotArea>
    </format>
    <format dxfId="3149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5"/>
          </reference>
          <reference field="17" count="1">
            <x v="0"/>
          </reference>
        </references>
      </pivotArea>
    </format>
    <format dxfId="3150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7" count="1">
            <x v="1"/>
          </reference>
        </references>
      </pivotArea>
    </format>
    <format dxfId="3151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"/>
          </reference>
          <reference field="8" count="1" selected="0">
            <x v="1"/>
          </reference>
          <reference field="12" count="1" selected="0">
            <x v="5"/>
          </reference>
          <reference field="17" count="1">
            <x v="0"/>
          </reference>
        </references>
      </pivotArea>
    </format>
    <format dxfId="3152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7" count="1">
            <x v="1"/>
          </reference>
        </references>
      </pivotArea>
    </format>
    <format dxfId="3153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7" count="1">
            <x v="0"/>
          </reference>
        </references>
      </pivotArea>
    </format>
    <format dxfId="315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3155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  <reference field="17" count="1" selected="0">
            <x v="1"/>
          </reference>
        </references>
      </pivotArea>
    </format>
    <format dxfId="3156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3157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  <reference field="17" count="1" selected="0">
            <x v="1"/>
          </reference>
        </references>
      </pivotArea>
    </format>
    <format dxfId="3158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3159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>
            <x v="2"/>
          </reference>
          <reference field="17" count="1" selected="0">
            <x v="1"/>
          </reference>
        </references>
      </pivotArea>
    </format>
    <format dxfId="3160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>
            <x v="2"/>
          </reference>
          <reference field="17" count="1" selected="0">
            <x v="0"/>
          </reference>
        </references>
      </pivotArea>
    </format>
    <format dxfId="3161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3162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4">
            <x v="0"/>
            <x v="1"/>
            <x v="2"/>
            <x v="3"/>
          </reference>
          <reference field="17" count="1" selected="0">
            <x v="0"/>
          </reference>
        </references>
      </pivotArea>
    </format>
    <format dxfId="3163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1"/>
          </reference>
          <reference field="17" count="1" selected="0">
            <x v="1"/>
          </reference>
        </references>
      </pivotArea>
    </format>
    <format dxfId="3164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0"/>
          </reference>
          <reference field="17" count="1" selected="0">
            <x v="2"/>
          </reference>
        </references>
      </pivotArea>
    </format>
    <format dxfId="3165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3"/>
          </reference>
          <reference field="17" count="1" selected="0">
            <x v="0"/>
          </reference>
        </references>
      </pivotArea>
    </format>
    <format dxfId="3166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2">
            <x v="0"/>
            <x v="3"/>
          </reference>
          <reference field="17" count="1" selected="0">
            <x v="0"/>
          </reference>
        </references>
      </pivotArea>
    </format>
    <format dxfId="3167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1"/>
          </reference>
          <reference field="17" count="1" selected="0">
            <x v="1"/>
          </reference>
        </references>
      </pivotArea>
    </format>
    <format dxfId="3168">
      <pivotArea dataOnly="0" labelOnly="1" outline="0" fieldPosition="0">
        <references count="6">
          <reference field="1" count="1" selected="0">
            <x v="9"/>
          </reference>
          <reference field="2" count="1" selected="0">
            <x v="8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3"/>
          </reference>
          <reference field="17" count="1" selected="0">
            <x v="0"/>
          </reference>
        </references>
      </pivotArea>
    </format>
    <format dxfId="3169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4" count="1">
            <x v="0"/>
          </reference>
          <reference field="17" count="1" selected="0">
            <x v="1"/>
          </reference>
        </references>
      </pivotArea>
    </format>
    <format dxfId="3170">
      <pivotArea dataOnly="0" labelOnly="1" outline="0" fieldPosition="0">
        <references count="6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3171">
      <pivotArea dataOnly="0" labelOnly="1" outline="0" fieldPosition="0">
        <references count="6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  <reference field="17" count="1" selected="0">
            <x v="0"/>
          </reference>
        </references>
      </pivotArea>
    </format>
    <format dxfId="3172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3173">
      <pivotArea dataOnly="0" labelOnly="1" outline="0" fieldPosition="0">
        <references count="6">
          <reference field="1" count="1" selected="0">
            <x v="10"/>
          </reference>
          <reference field="2" count="1" selected="0">
            <x v="14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0"/>
          </reference>
          <reference field="17" count="1" selected="0">
            <x v="0"/>
          </reference>
        </references>
      </pivotArea>
    </format>
    <format dxfId="3174">
      <pivotArea dataOnly="0" labelOnly="1" outline="0" fieldPosition="0">
        <references count="6">
          <reference field="1" count="1" selected="0">
            <x v="12"/>
          </reference>
          <reference field="2" count="1" selected="0">
            <x v="6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3175">
      <pivotArea dataOnly="0" labelOnly="1" outline="0" fieldPosition="0">
        <references count="6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6"/>
          </reference>
          <reference field="14" count="1">
            <x v="4"/>
          </reference>
          <reference field="17" count="1" selected="0">
            <x v="0"/>
          </reference>
        </references>
      </pivotArea>
    </format>
    <format dxfId="3176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77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3178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79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3180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81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5"/>
          </reference>
          <reference field="17" count="1" selected="0">
            <x v="1"/>
          </reference>
        </references>
      </pivotArea>
    </format>
    <format dxfId="3182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83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>
            <x v="8"/>
          </reference>
          <reference field="17" count="1" selected="0">
            <x v="1"/>
          </reference>
        </references>
      </pivotArea>
    </format>
    <format dxfId="3184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3185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86">
      <pivotArea dataOnly="0" labelOnly="1" outline="0" fieldPosition="0">
        <references count="7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>
            <x v="11"/>
          </reference>
          <reference field="17" count="1" selected="0">
            <x v="1"/>
          </reference>
        </references>
      </pivotArea>
    </format>
    <format dxfId="318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88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89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8"/>
          </reference>
          <reference field="17" count="1" selected="0">
            <x v="0"/>
          </reference>
        </references>
      </pivotArea>
    </format>
    <format dxfId="3190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91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7"/>
          </reference>
          <reference field="17" count="1" selected="0">
            <x v="0"/>
          </reference>
        </references>
      </pivotArea>
    </format>
    <format dxfId="3192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193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3194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2">
            <x v="8"/>
            <x v="9"/>
          </reference>
          <reference field="17" count="1" selected="0">
            <x v="0"/>
          </reference>
        </references>
      </pivotArea>
    </format>
    <format dxfId="3195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  <reference field="17" count="1" selected="0">
            <x v="0"/>
          </reference>
        </references>
      </pivotArea>
    </format>
    <format dxfId="3196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>
            <x v="4"/>
          </reference>
          <reference field="17" count="1" selected="0">
            <x v="0"/>
          </reference>
        </references>
      </pivotArea>
    </format>
    <format dxfId="319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2"/>
          </reference>
          <reference field="15" count="1">
            <x v="2"/>
          </reference>
          <reference field="17" count="1" selected="0">
            <x v="0"/>
          </reference>
        </references>
      </pivotArea>
    </format>
    <format dxfId="3198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  <reference field="17" count="1" selected="0">
            <x v="0"/>
          </reference>
        </references>
      </pivotArea>
    </format>
    <format dxfId="3199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>
            <x v="6"/>
          </reference>
          <reference field="17" count="1" selected="0">
            <x v="1"/>
          </reference>
        </references>
      </pivotArea>
    </format>
    <format dxfId="3200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  <reference field="17" count="1" selected="0">
            <x v="2"/>
          </reference>
        </references>
      </pivotArea>
    </format>
    <format dxfId="3201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  <reference field="17" count="1" selected="0">
            <x v="0"/>
          </reference>
        </references>
      </pivotArea>
    </format>
    <format dxfId="3202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5"/>
          </reference>
          <reference field="17" count="1" selected="0">
            <x v="0"/>
          </reference>
        </references>
      </pivotArea>
    </format>
    <format dxfId="3203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  <reference field="17" count="1" selected="0">
            <x v="0"/>
          </reference>
        </references>
      </pivotArea>
    </format>
    <format dxfId="3204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>
            <x v="6"/>
          </reference>
          <reference field="17" count="1" selected="0">
            <x v="1"/>
          </reference>
        </references>
      </pivotArea>
    </format>
    <format dxfId="3205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>
            <x v="3"/>
          </reference>
          <reference field="17" count="1" selected="0">
            <x v="0"/>
          </reference>
        </references>
      </pivotArea>
    </format>
    <format dxfId="3206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>
            <x v="8"/>
          </reference>
          <reference field="17" count="1" selected="0">
            <x v="1"/>
          </reference>
        </references>
      </pivotArea>
    </format>
    <format dxfId="320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  <reference field="17" count="1" selected="0">
            <x v="0"/>
          </reference>
        </references>
      </pivotArea>
    </format>
    <format dxfId="3208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>
            <x v="2"/>
          </reference>
          <reference field="17" count="1" selected="0">
            <x v="0"/>
          </reference>
        </references>
      </pivotArea>
    </format>
    <format dxfId="3209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2">
            <x v="0"/>
            <x v="2"/>
          </reference>
          <reference field="17" count="1" selected="0">
            <x v="0"/>
          </reference>
        </references>
      </pivotArea>
    </format>
    <format dxfId="3210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6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  <reference field="17" count="1" selected="0">
            <x v="0"/>
          </reference>
        </references>
      </pivotArea>
    </format>
    <format dxfId="3211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4"/>
          </reference>
          <reference field="15" count="1">
            <x v="12"/>
          </reference>
          <reference field="17" count="1" selected="0">
            <x v="0"/>
          </reference>
        </references>
      </pivotArea>
    </format>
    <format dxfId="3212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13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3214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15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3216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7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17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0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18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19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5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3220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21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3222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9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3223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24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11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25">
      <pivotArea dataOnly="0" labelOnly="1" outline="0" fieldPosition="0">
        <references count="8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26">
      <pivotArea dataOnly="0" labelOnly="1" outline="0" fieldPosition="0">
        <references count="8">
          <reference field="1" count="1" selected="0">
            <x v="16"/>
          </reference>
          <reference field="2" count="1" selected="0">
            <x v="13"/>
          </reference>
          <reference field="8" count="1" selected="0">
            <x v="2"/>
          </reference>
          <reference field="12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  <reference field="17" count="1" selected="0">
            <x v="1"/>
          </reference>
          <reference field="20" count="1">
            <x v="1"/>
          </reference>
        </references>
      </pivotArea>
    </format>
    <format dxfId="3227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0"/>
          </reference>
          <reference field="8" count="1" selected="0">
            <x v="3"/>
          </reference>
          <reference field="12" count="1" selected="0">
            <x v="3"/>
          </reference>
          <reference field="14" count="1" selected="0">
            <x v="2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1"/>
          </reference>
        </references>
      </pivotArea>
    </format>
    <format dxfId="3228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29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30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31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32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8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7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33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34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0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3235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3236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37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1" selected="0">
            <x v="6"/>
          </reference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38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39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4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40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2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41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42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6"/>
          </reference>
          <reference field="17" count="1" selected="0">
            <x v="1"/>
          </reference>
          <reference field="20" count="1">
            <x v="0"/>
          </reference>
        </references>
      </pivotArea>
    </format>
    <format dxfId="3243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17" count="1" selected="0">
            <x v="2"/>
          </reference>
          <reference field="20" count="1">
            <x v="4"/>
          </reference>
        </references>
      </pivotArea>
    </format>
    <format dxfId="3244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7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45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5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46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47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1"/>
          </reference>
          <reference field="15" count="1" selected="0">
            <x v="6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3248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8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3"/>
          </reference>
          <reference field="15" count="1" selected="0">
            <x v="3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49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1"/>
          </reference>
          <reference field="12" count="1" selected="0">
            <x v="5"/>
          </reference>
          <reference field="14" count="1" selected="0">
            <x v="0"/>
          </reference>
          <reference field="15" count="1" selected="0">
            <x v="8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3250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251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252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0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253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54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55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4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56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6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17" count="1" selected="0">
            <x v="0"/>
          </reference>
          <reference field="20" count="1">
            <x v="3"/>
          </reference>
        </references>
      </pivotArea>
    </format>
    <format dxfId="3257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1" selected="0">
            <x v="4"/>
          </reference>
          <reference field="12" count="1" selected="0">
            <x v="6"/>
          </reference>
          <reference field="14" count="1" selected="0">
            <x v="4"/>
          </reference>
          <reference field="15" count="1" selected="0">
            <x v="12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258">
      <pivotArea dataOnly="0" labelOnly="1" outline="0" fieldPosition="0">
        <references count="1">
          <reference field="0" count="0"/>
        </references>
      </pivotArea>
    </format>
    <format dxfId="3259">
      <pivotArea dataOnly="0" labelOnly="1" grandCol="1" outline="0" fieldPosition="0"/>
    </format>
    <format dxfId="3260">
      <pivotArea outline="0" fieldPosition="0">
        <references count="1">
          <reference field="0" count="0" selected="0"/>
        </references>
      </pivotArea>
    </format>
    <format dxfId="3261">
      <pivotArea field="0" type="button" dataOnly="0" labelOnly="1" outline="0" axis="axisCol" fieldPosition="0"/>
    </format>
    <format dxfId="3262">
      <pivotArea type="topRight" dataOnly="0" labelOnly="1" outline="0" fieldPosition="0"/>
    </format>
    <format dxfId="3263">
      <pivotArea dataOnly="0" labelOnly="1" outline="0" fieldPosition="0">
        <references count="1">
          <reference field="0" count="0"/>
        </references>
      </pivotArea>
    </format>
    <format dxfId="3264">
      <pivotArea outline="0" fieldPosition="0">
        <references count="1">
          <reference field="0" count="0" selected="0"/>
        </references>
      </pivotArea>
    </format>
    <format dxfId="3265">
      <pivotArea field="0" type="button" dataOnly="0" labelOnly="1" outline="0" axis="axisCol" fieldPosition="0"/>
    </format>
    <format dxfId="3266">
      <pivotArea type="topRight" dataOnly="0" labelOnly="1" outline="0" fieldPosition="0"/>
    </format>
    <format dxfId="3267">
      <pivotArea dataOnly="0" labelOnly="1" outline="0" fieldPosition="0">
        <references count="1">
          <reference field="0" count="0"/>
        </references>
      </pivotArea>
    </format>
    <format dxfId="3268">
      <pivotArea field="15" type="button" dataOnly="0" labelOnly="1" outline="0" axis="axisRow" fieldPosition="7"/>
    </format>
    <format dxfId="3269">
      <pivotArea field="20" type="button" dataOnly="0" labelOnly="1" outline="0" axis="axisRow" fieldPosition="8"/>
    </format>
    <format dxfId="3270">
      <pivotArea outline="0" fieldPosition="0">
        <references count="2">
          <reference field="8" count="0" selected="0" defaultSubtotal="1"/>
          <reference field="12" count="1" selected="0">
            <x v="4"/>
          </reference>
        </references>
      </pivotArea>
    </format>
    <format dxfId="3271">
      <pivotArea dataOnly="0" labelOnly="1" outline="0" fieldPosition="0">
        <references count="2">
          <reference field="8" count="0"/>
          <reference field="12" count="1" selected="0">
            <x v="4"/>
          </reference>
        </references>
      </pivotArea>
    </format>
    <format dxfId="3272">
      <pivotArea dataOnly="0" labelOnly="1" outline="0" fieldPosition="0">
        <references count="2">
          <reference field="8" count="0" defaultSubtotal="1"/>
          <reference field="12" count="1" selected="0">
            <x v="4"/>
          </reference>
        </references>
      </pivotArea>
    </format>
    <format dxfId="3273">
      <pivotArea dataOnly="0" labelOnly="1" outline="0" fieldPosition="0">
        <references count="3">
          <reference field="1" count="7">
            <x v="1"/>
            <x v="3"/>
            <x v="4"/>
            <x v="9"/>
            <x v="10"/>
            <x v="12"/>
            <x v="14"/>
          </reference>
          <reference field="8" count="0" selected="0"/>
          <reference field="12" count="1" selected="0">
            <x v="4"/>
          </reference>
        </references>
      </pivotArea>
    </format>
    <format dxfId="3274">
      <pivotArea dataOnly="0" labelOnly="1" outline="0" fieldPosition="0">
        <references count="4">
          <reference field="1" count="1" selected="0">
            <x v="1"/>
          </reference>
          <reference field="2" count="1">
            <x v="1"/>
          </reference>
          <reference field="8" count="0" selected="0"/>
          <reference field="12" count="1" selected="0">
            <x v="4"/>
          </reference>
        </references>
      </pivotArea>
    </format>
    <format dxfId="3275">
      <pivotArea dataOnly="0" labelOnly="1" outline="0" fieldPosition="0">
        <references count="4">
          <reference field="1" count="1" selected="0">
            <x v="3"/>
          </reference>
          <reference field="2" count="1">
            <x v="15"/>
          </reference>
          <reference field="8" count="0" selected="0"/>
          <reference field="12" count="1" selected="0">
            <x v="4"/>
          </reference>
        </references>
      </pivotArea>
    </format>
    <format dxfId="3276">
      <pivotArea dataOnly="0" labelOnly="1" outline="0" fieldPosition="0">
        <references count="4">
          <reference field="1" count="1" selected="0">
            <x v="4"/>
          </reference>
          <reference field="2" count="1">
            <x v="3"/>
          </reference>
          <reference field="8" count="0" selected="0"/>
          <reference field="12" count="1" selected="0">
            <x v="4"/>
          </reference>
        </references>
      </pivotArea>
    </format>
    <format dxfId="3277">
      <pivotArea dataOnly="0" labelOnly="1" outline="0" fieldPosition="0">
        <references count="4">
          <reference field="1" count="1" selected="0">
            <x v="9"/>
          </reference>
          <reference field="2" count="2">
            <x v="2"/>
            <x v="8"/>
          </reference>
          <reference field="8" count="0" selected="0"/>
          <reference field="12" count="1" selected="0">
            <x v="4"/>
          </reference>
        </references>
      </pivotArea>
    </format>
    <format dxfId="3278">
      <pivotArea dataOnly="0" labelOnly="1" outline="0" fieldPosition="0">
        <references count="4">
          <reference field="1" count="1" selected="0">
            <x v="10"/>
          </reference>
          <reference field="2" count="1">
            <x v="12"/>
          </reference>
          <reference field="8" count="0" selected="0"/>
          <reference field="12" count="1" selected="0">
            <x v="4"/>
          </reference>
        </references>
      </pivotArea>
    </format>
    <format dxfId="3279">
      <pivotArea dataOnly="0" labelOnly="1" outline="0" fieldPosition="0">
        <references count="4">
          <reference field="1" count="1" selected="0">
            <x v="12"/>
          </reference>
          <reference field="2" count="2">
            <x v="0"/>
            <x v="5"/>
          </reference>
          <reference field="8" count="0" selected="0"/>
          <reference field="12" count="1" selected="0">
            <x v="4"/>
          </reference>
        </references>
      </pivotArea>
    </format>
    <format dxfId="3280">
      <pivotArea dataOnly="0" labelOnly="1" outline="0" fieldPosition="0">
        <references count="4">
          <reference field="1" count="1" selected="0">
            <x v="14"/>
          </reference>
          <reference field="2" count="1">
            <x v="4"/>
          </reference>
          <reference field="8" count="0" selected="0"/>
          <reference field="12" count="1" selected="0">
            <x v="4"/>
          </reference>
        </references>
      </pivotArea>
    </format>
    <format dxfId="3281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8" count="0" selected="0"/>
          <reference field="12" count="1" selected="0">
            <x v="4"/>
          </reference>
          <reference field="17" count="1">
            <x v="0"/>
          </reference>
        </references>
      </pivotArea>
    </format>
    <format dxfId="3282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0"/>
          </reference>
          <reference field="8" count="0" selected="0"/>
          <reference field="12" count="1" selected="0">
            <x v="4"/>
          </reference>
          <reference field="17" count="1">
            <x v="1"/>
          </reference>
        </references>
      </pivotArea>
    </format>
    <format dxfId="3283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4"/>
          </reference>
          <reference field="8" count="0" selected="0"/>
          <reference field="12" count="1" selected="0">
            <x v="4"/>
          </reference>
          <reference field="17" count="1">
            <x v="0"/>
          </reference>
        </references>
      </pivotArea>
    </format>
    <format dxfId="3284">
      <pivotArea dataOnly="0" labelOnly="1" outline="0" fieldPosition="0">
        <references count="6">
          <reference field="1" count="1" selected="0">
            <x v="1"/>
          </reference>
          <reference field="2" count="1" selected="0">
            <x v="1"/>
          </reference>
          <reference field="8" count="0" selected="0"/>
          <reference field="12" count="1" selected="0">
            <x v="4"/>
          </reference>
          <reference field="14" count="1">
            <x v="1"/>
          </reference>
          <reference field="17" count="1" selected="0">
            <x v="0"/>
          </reference>
        </references>
      </pivotArea>
    </format>
    <format dxfId="3285">
      <pivotArea dataOnly="0" labelOnly="1" outline="0" fieldPosition="0">
        <references count="7">
          <reference field="1" count="1" selected="0">
            <x v="1"/>
          </reference>
          <reference field="2" count="1" selected="0">
            <x v="1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286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>
            <x v="8"/>
          </reference>
          <reference field="17" count="1" selected="0">
            <x v="0"/>
          </reference>
        </references>
      </pivotArea>
    </format>
    <format dxfId="3287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288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8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>
            <x v="7"/>
          </reference>
          <reference field="17" count="1" selected="0">
            <x v="0"/>
          </reference>
        </references>
      </pivotArea>
    </format>
    <format dxfId="3289">
      <pivotArea dataOnly="0" labelOnly="1" outline="0" fieldPosition="0">
        <references count="7">
          <reference field="1" count="1" selected="0">
            <x v="10"/>
          </reference>
          <reference field="2" count="1" selected="0">
            <x v="12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>
            <x v="9"/>
          </reference>
          <reference field="17" count="1" selected="0">
            <x v="0"/>
          </reference>
        </references>
      </pivotArea>
    </format>
    <format dxfId="3290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0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>
            <x v="10"/>
          </reference>
          <reference field="17" count="1" selected="0">
            <x v="1"/>
          </reference>
        </references>
      </pivotArea>
    </format>
    <format dxfId="3291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2">
            <x v="8"/>
            <x v="9"/>
          </reference>
          <reference field="17" count="1" selected="0">
            <x v="0"/>
          </reference>
        </references>
      </pivotArea>
    </format>
    <format dxfId="3292">
      <pivotArea dataOnly="0" labelOnly="1" outline="0" fieldPosition="0">
        <references count="8">
          <reference field="1" count="1" selected="0">
            <x v="1"/>
          </reference>
          <reference field="2" count="1" selected="0">
            <x v="1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93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94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95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96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8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7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97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298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0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3299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5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10"/>
          </reference>
          <reference field="17" count="1" selected="0">
            <x v="1"/>
          </reference>
          <reference field="20" count="1">
            <x v="4"/>
          </reference>
        </references>
      </pivotArea>
    </format>
    <format dxfId="3300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8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301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0" selected="0"/>
          <reference field="12" count="1" selected="0">
            <x v="4"/>
          </reference>
          <reference field="14" count="1" selected="0">
            <x v="1"/>
          </reference>
          <reference field="15" count="1" selected="0">
            <x v="9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302">
      <pivotArea field="15" type="button" dataOnly="0" labelOnly="1" outline="0" axis="axisRow" fieldPosition="7"/>
    </format>
    <format dxfId="3303">
      <pivotArea field="20" type="button" dataOnly="0" labelOnly="1" outline="0" axis="axisRow" fieldPosition="8"/>
    </format>
    <format dxfId="3304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  <reference field="17" count="1" selected="0">
            <x v="0"/>
          </reference>
        </references>
      </pivotArea>
    </format>
    <format dxfId="3305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>
            <x v="2"/>
          </reference>
          <reference field="17" count="1" selected="0">
            <x v="0"/>
          </reference>
        </references>
      </pivotArea>
    </format>
    <format dxfId="3306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2">
            <x v="0"/>
            <x v="2"/>
          </reference>
          <reference field="17" count="1" selected="0">
            <x v="0"/>
          </reference>
        </references>
      </pivotArea>
    </format>
    <format dxfId="3307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6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  <reference field="17" count="1" selected="0">
            <x v="0"/>
          </reference>
        </references>
      </pivotArea>
    </format>
    <format dxfId="3308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0" selected="0"/>
          <reference field="12" count="1" selected="0">
            <x v="6"/>
          </reference>
          <reference field="14" count="1" selected="0">
            <x v="4"/>
          </reference>
          <reference field="15" count="1">
            <x v="12"/>
          </reference>
          <reference field="17" count="1" selected="0">
            <x v="0"/>
          </reference>
        </references>
      </pivotArea>
    </format>
    <format dxfId="3309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310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311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0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312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313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314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4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315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6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17" count="1" selected="0">
            <x v="0"/>
          </reference>
          <reference field="20" count="1">
            <x v="3"/>
          </reference>
        </references>
      </pivotArea>
    </format>
    <format dxfId="3316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0" selected="0"/>
          <reference field="12" count="1" selected="0">
            <x v="6"/>
          </reference>
          <reference field="14" count="1" selected="0">
            <x v="4"/>
          </reference>
          <reference field="15" count="1" selected="0">
            <x v="12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317">
      <pivotArea dataOnly="0" labelOnly="1" outline="0" fieldPosition="0">
        <references count="7">
          <reference field="1" count="1" selected="0">
            <x v="3"/>
          </reference>
          <reference field="2" count="1" selected="0">
            <x v="15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  <reference field="17" count="1" selected="0">
            <x v="0"/>
          </reference>
        </references>
      </pivotArea>
    </format>
    <format dxfId="3318">
      <pivotArea dataOnly="0" labelOnly="1" outline="0" fieldPosition="0">
        <references count="7">
          <reference field="1" count="1" selected="0">
            <x v="4"/>
          </reference>
          <reference field="2" count="1" selected="0">
            <x v="3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>
            <x v="2"/>
          </reference>
          <reference field="17" count="1" selected="0">
            <x v="0"/>
          </reference>
        </references>
      </pivotArea>
    </format>
    <format dxfId="3319">
      <pivotArea dataOnly="0" labelOnly="1" outline="0" fieldPosition="0">
        <references count="7">
          <reference field="1" count="1" selected="0">
            <x v="9"/>
          </reference>
          <reference field="2" count="1" selected="0">
            <x v="2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2">
            <x v="0"/>
            <x v="2"/>
          </reference>
          <reference field="17" count="1" selected="0">
            <x v="0"/>
          </reference>
        </references>
      </pivotArea>
    </format>
    <format dxfId="3320">
      <pivotArea dataOnly="0" labelOnly="1" outline="0" fieldPosition="0">
        <references count="7">
          <reference field="1" count="1" selected="0">
            <x v="12"/>
          </reference>
          <reference field="2" count="1" selected="0">
            <x v="6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>
            <x v="1"/>
          </reference>
          <reference field="17" count="1" selected="0">
            <x v="0"/>
          </reference>
        </references>
      </pivotArea>
    </format>
    <format dxfId="3321">
      <pivotArea dataOnly="0" labelOnly="1" outline="0" fieldPosition="0">
        <references count="7">
          <reference field="1" count="1" selected="0">
            <x v="14"/>
          </reference>
          <reference field="2" count="1" selected="0">
            <x v="4"/>
          </reference>
          <reference field="8" count="0" selected="0"/>
          <reference field="12" count="1" selected="0">
            <x v="6"/>
          </reference>
          <reference field="14" count="1" selected="0">
            <x v="4"/>
          </reference>
          <reference field="15" count="1">
            <x v="12"/>
          </reference>
          <reference field="17" count="1" selected="0">
            <x v="0"/>
          </reference>
        </references>
      </pivotArea>
    </format>
    <format dxfId="3322">
      <pivotArea dataOnly="0" labelOnly="1" outline="0" fieldPosition="0">
        <references count="8">
          <reference field="1" count="1" selected="0">
            <x v="3"/>
          </reference>
          <reference field="2" count="1" selected="0">
            <x v="15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323">
      <pivotArea dataOnly="0" labelOnly="1" outline="0" fieldPosition="0">
        <references count="8">
          <reference field="1" count="1" selected="0">
            <x v="4"/>
          </reference>
          <reference field="2" count="1" selected="0">
            <x v="3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324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0"/>
          </reference>
          <reference field="17" count="1" selected="0">
            <x v="0"/>
          </reference>
          <reference field="20" count="1">
            <x v="2"/>
          </reference>
        </references>
      </pivotArea>
    </format>
    <format dxfId="3325">
      <pivotArea dataOnly="0" labelOnly="1" outline="0" fieldPosition="0">
        <references count="8">
          <reference field="1" count="1" selected="0">
            <x v="9"/>
          </reference>
          <reference field="2" count="1" selected="0">
            <x v="2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326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2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327">
      <pivotArea dataOnly="0" labelOnly="1" outline="0" fieldPosition="0">
        <references count="8">
          <reference field="1" count="1" selected="0">
            <x v="10"/>
          </reference>
          <reference field="2" count="1" selected="0">
            <x v="14"/>
          </reference>
          <reference field="8" count="0" selected="0"/>
          <reference field="12" count="1" selected="0">
            <x v="6"/>
          </reference>
          <reference field="14" count="1" selected="0">
            <x v="0"/>
          </reference>
          <reference field="15" count="1" selected="0">
            <x v="2"/>
          </reference>
          <reference field="17" count="1" selected="0">
            <x v="0"/>
          </reference>
          <reference field="20" count="1">
            <x v="4"/>
          </reference>
        </references>
      </pivotArea>
    </format>
    <format dxfId="3328">
      <pivotArea dataOnly="0" labelOnly="1" outline="0" fieldPosition="0">
        <references count="8">
          <reference field="1" count="1" selected="0">
            <x v="12"/>
          </reference>
          <reference field="2" count="1" selected="0">
            <x v="6"/>
          </reference>
          <reference field="8" count="0" selected="0"/>
          <reference field="12" count="1" selected="0">
            <x v="6"/>
          </reference>
          <reference field="14" count="1" selected="0">
            <x v="1"/>
          </reference>
          <reference field="15" count="1" selected="0">
            <x v="1"/>
          </reference>
          <reference field="17" count="1" selected="0">
            <x v="0"/>
          </reference>
          <reference field="20" count="1">
            <x v="3"/>
          </reference>
        </references>
      </pivotArea>
    </format>
    <format dxfId="3329">
      <pivotArea dataOnly="0" labelOnly="1" outline="0" fieldPosition="0">
        <references count="8">
          <reference field="1" count="1" selected="0">
            <x v="14"/>
          </reference>
          <reference field="2" count="1" selected="0">
            <x v="4"/>
          </reference>
          <reference field="8" count="0" selected="0"/>
          <reference field="12" count="1" selected="0">
            <x v="6"/>
          </reference>
          <reference field="14" count="1" selected="0">
            <x v="4"/>
          </reference>
          <reference field="15" count="1" selected="0">
            <x v="12"/>
          </reference>
          <reference field="17" count="1" selected="0">
            <x v="0"/>
          </reference>
          <reference field="20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BA091-AFC5-478B-A1AB-F6702E1BB0C5}" name="TabINV2026" displayName="TabINV2026" ref="A1:AC78" totalsRowShown="0" headerRowDxfId="12399" headerRowBorderDxfId="12398" tableBorderDxfId="12397">
  <autoFilter ref="A1:AC78" xr:uid="{AF8BA091-AFC5-478B-A1AB-F6702E1BB0C5}">
    <filterColumn colId="8">
      <filters>
        <filter val="ACEPTABLE - CAMBIO"/>
        <filter val="BUENA - REPOTENCIAR"/>
        <filter val="CAMBIO"/>
        <filter val="COMPRA"/>
        <filter val="OPTIMO - REPOTENCIAR"/>
      </filters>
    </filterColumn>
  </autoFilter>
  <tableColumns count="29">
    <tableColumn id="1" xr3:uid="{8F826201-6E38-46EA-A091-60B8CD765055}" name="SEDE" dataDxfId="12396"/>
    <tableColumn id="2" xr3:uid="{C0A4B6B2-7124-46FB-8AA3-2F28AF2DAC3A}" name="AREA" dataDxfId="12395"/>
    <tableColumn id="21" xr3:uid="{0AB9C471-1920-43E1-A412-80E68ECB0B9C}" name="SubArea" dataDxfId="12394"/>
    <tableColumn id="3" xr3:uid="{F52511DE-A9E2-4AC1-AB7C-0FCD918F1972}" name="HOSTNAME" dataDxfId="12393"/>
    <tableColumn id="4" xr3:uid="{C5904373-5240-4EEA-A94B-EF9343ACF675}" name="usuario" dataDxfId="12392"/>
    <tableColumn id="5" xr3:uid="{62FAB21D-8CD5-4468-880B-0AC17A18EC7C}" name="Responsable" dataDxfId="12391"/>
    <tableColumn id="26" xr3:uid="{409C00A0-A63C-4A1A-9588-2C788B486353}" name="Cargo" dataDxfId="12390"/>
    <tableColumn id="22" xr3:uid="{AEADB520-1A3A-4AB0-B437-CCCA88E3AEB8}" name="Estado1" dataDxfId="12389"/>
    <tableColumn id="23" xr3:uid="{B1EEA361-454D-4D25-A3CF-3B1AB5CC7FF6}" name="Estado2" dataDxfId="12388"/>
    <tableColumn id="29" xr3:uid="{0C63DD82-3A9F-4E8D-AA2A-5E03A2BE08BA}" name="Estado4" dataDxfId="12387"/>
    <tableColumn id="27" xr3:uid="{A6BA8F15-8A04-4E38-8079-04ED4F7EAE6C}" name="TipoEQ" dataDxfId="12386"/>
    <tableColumn id="28" xr3:uid="{95226C4D-4EB4-4673-BAE4-5D2000DDDA7F}" name="TipoDES" dataDxfId="12385"/>
    <tableColumn id="24" xr3:uid="{6F57649C-8285-4831-BE00-BC68DBCFF028}" name="Estado2Valor" dataDxfId="12384">
      <calculatedColumnFormula>VLOOKUP(TabINV2026[[#This Row],[Estado2]],Tabla!$A$2:$B$6,2,FALSE)</calculatedColumnFormula>
    </tableColumn>
    <tableColumn id="25" xr3:uid="{25A3CB79-9247-4FA5-AEE2-E2364B769080}" name="Estado3" dataDxfId="12383"/>
    <tableColumn id="6" xr3:uid="{DFDC7759-A74E-44B9-8D10-8E4811D1B0EC}" name="PROCESADOR" dataDxfId="12382"/>
    <tableColumn id="7" xr3:uid="{A6CD4B10-EC3B-4081-8F92-36C4C50D8BF0}" name="GENPROCESADOR" dataDxfId="12381"/>
    <tableColumn id="8" xr3:uid="{67A404AC-604B-40C9-9415-D8CB8833D3A0}" name="DESCPROCESADOR" dataDxfId="12380"/>
    <tableColumn id="9" xr3:uid="{D5D22FDC-C489-4786-A5B4-2031B931353F}" name="TIPO" dataDxfId="12379"/>
    <tableColumn id="10" xr3:uid="{329810E0-5FDC-40DB-9C95-913B94419686}" name="MARCA" dataDxfId="12378"/>
    <tableColumn id="11" xr3:uid="{43011601-A5F4-42EE-A25F-4A9798AC993A}" name="DESCPLACAMADRE" dataDxfId="12377"/>
    <tableColumn id="12" xr3:uid="{6F8DB5C0-903C-49A8-AC1E-B65592E5610C}" name="RAM" dataDxfId="12376"/>
    <tableColumn id="13" xr3:uid="{66DFEEF0-1E57-453D-B8AD-7B1C527501CC}" name="DESCRAM" dataDxfId="12375"/>
    <tableColumn id="14" xr3:uid="{AA3766B1-F3A8-4468-87EF-6C9D8E4FFA78}" name="DISCO" dataDxfId="12374"/>
    <tableColumn id="15" xr3:uid="{E86170CF-A9C9-4F3D-A497-FDF5DEC03AA2}" name="DESCDISCO" dataDxfId="12373"/>
    <tableColumn id="16" xr3:uid="{CDCCE361-451F-48EE-A0AE-C373B7983B1D}" name="Monitor" dataDxfId="12372"/>
    <tableColumn id="17" xr3:uid="{4AAED273-AAE6-4B81-8177-19FC47BF7287}" name="DESCMONITOR" dataDxfId="12371"/>
    <tableColumn id="18" xr3:uid="{2EB22FCC-8F14-44BD-A6D4-0C2FCD739817}" name="PERIFERICOS" dataDxfId="12370"/>
    <tableColumn id="19" xr3:uid="{0B134AF0-BAEE-4372-A193-304970DC36A2}" name="Estabilizador" dataDxfId="12369"/>
    <tableColumn id="20" xr3:uid="{6527EEDF-2DD1-4CE9-AFED-32C7E70823B3}" name="Observaciones" dataDxfId="1236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zoomScale="85" zoomScaleNormal="85" workbookViewId="0">
      <pane ySplit="1" topLeftCell="A26" activePane="bottomLeft" state="frozen"/>
      <selection activeCell="E52" sqref="E52"/>
      <selection pane="bottomLeft" activeCell="E52" sqref="E52"/>
    </sheetView>
  </sheetViews>
  <sheetFormatPr baseColWidth="10" defaultColWidth="8.85546875" defaultRowHeight="15" x14ac:dyDescent="0.25"/>
  <cols>
    <col min="1" max="1" width="10.5703125" bestFit="1" customWidth="1"/>
    <col min="2" max="2" width="11.140625" bestFit="1" customWidth="1"/>
    <col min="3" max="3" width="16.28515625" bestFit="1" customWidth="1"/>
    <col min="4" max="4" width="16.7109375" bestFit="1" customWidth="1"/>
    <col min="5" max="5" width="31.28515625" bestFit="1" customWidth="1"/>
    <col min="6" max="6" width="15.28515625" bestFit="1" customWidth="1"/>
    <col min="7" max="7" width="18.28515625" bestFit="1" customWidth="1"/>
    <col min="8" max="8" width="20.140625" bestFit="1" customWidth="1"/>
    <col min="9" max="9" width="16.7109375" bestFit="1" customWidth="1"/>
    <col min="10" max="10" width="27" bestFit="1" customWidth="1"/>
    <col min="11" max="11" width="20.42578125" bestFit="1" customWidth="1"/>
    <col min="12" max="12" width="19.7109375" bestFit="1" customWidth="1"/>
    <col min="13" max="13" width="30.7109375" bestFit="1" customWidth="1"/>
    <col min="14" max="14" width="14.42578125" bestFit="1" customWidth="1"/>
    <col min="15" max="15" width="15.7109375" bestFit="1" customWidth="1"/>
    <col min="16" max="16" width="15.28515625" bestFit="1" customWidth="1"/>
    <col min="17" max="17" width="15.28515625" customWidth="1"/>
    <col min="18" max="18" width="22.140625" bestFit="1" customWidth="1"/>
  </cols>
  <sheetData>
    <row r="1" spans="1:18" s="1" customFormat="1" ht="15.75" x14ac:dyDescent="0.25">
      <c r="A1" s="2" t="s">
        <v>0</v>
      </c>
      <c r="B1" s="2" t="s">
        <v>8</v>
      </c>
      <c r="C1" s="2" t="s">
        <v>1</v>
      </c>
      <c r="D1" s="2" t="s">
        <v>2</v>
      </c>
      <c r="E1" s="2" t="s">
        <v>4</v>
      </c>
      <c r="F1" s="2" t="s">
        <v>3</v>
      </c>
      <c r="G1" s="2" t="s">
        <v>5</v>
      </c>
      <c r="H1" s="2" t="s">
        <v>7</v>
      </c>
      <c r="I1" s="2" t="s">
        <v>19</v>
      </c>
      <c r="J1" s="2" t="s">
        <v>6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27</v>
      </c>
    </row>
    <row r="2" spans="1:18" x14ac:dyDescent="0.25">
      <c r="A2" s="3">
        <v>1</v>
      </c>
      <c r="B2" s="4">
        <v>177</v>
      </c>
      <c r="C2" s="4" t="s">
        <v>113</v>
      </c>
      <c r="D2" s="4" t="s">
        <v>272</v>
      </c>
      <c r="E2" s="4" t="s">
        <v>16</v>
      </c>
      <c r="F2" s="4" t="s">
        <v>17</v>
      </c>
      <c r="G2" s="4" t="s">
        <v>18</v>
      </c>
      <c r="H2" s="4"/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/>
      <c r="O2" s="4" t="s">
        <v>25</v>
      </c>
      <c r="P2" s="4" t="s">
        <v>26</v>
      </c>
      <c r="Q2" s="4" t="s">
        <v>26</v>
      </c>
      <c r="R2" s="4" t="s">
        <v>26</v>
      </c>
    </row>
    <row r="3" spans="1:18" x14ac:dyDescent="0.25">
      <c r="A3" s="3">
        <v>2</v>
      </c>
      <c r="B3" s="4">
        <v>177</v>
      </c>
      <c r="C3" s="4" t="s">
        <v>113</v>
      </c>
      <c r="D3" s="4" t="s">
        <v>271</v>
      </c>
      <c r="E3" s="4" t="s">
        <v>28</v>
      </c>
      <c r="F3" s="4" t="s">
        <v>63</v>
      </c>
      <c r="G3" s="4" t="s">
        <v>29</v>
      </c>
      <c r="H3" s="4"/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  <c r="N3" s="4"/>
      <c r="O3" s="4" t="s">
        <v>30</v>
      </c>
      <c r="P3" s="4" t="s">
        <v>26</v>
      </c>
      <c r="Q3" s="4" t="s">
        <v>31</v>
      </c>
      <c r="R3" s="4" t="s">
        <v>26</v>
      </c>
    </row>
    <row r="4" spans="1:18" x14ac:dyDescent="0.25">
      <c r="A4" s="3">
        <v>3</v>
      </c>
      <c r="B4" s="4">
        <v>177</v>
      </c>
      <c r="C4" s="4"/>
      <c r="D4" s="4"/>
      <c r="E4" s="4" t="s">
        <v>32</v>
      </c>
      <c r="F4" s="4" t="s">
        <v>33</v>
      </c>
      <c r="G4" s="4" t="s">
        <v>223</v>
      </c>
      <c r="H4" s="4"/>
      <c r="I4" s="4" t="s">
        <v>20</v>
      </c>
      <c r="J4" s="4" t="s">
        <v>21</v>
      </c>
      <c r="K4" s="4" t="s">
        <v>111</v>
      </c>
      <c r="L4" s="4" t="s">
        <v>43</v>
      </c>
      <c r="M4" s="4" t="s">
        <v>49</v>
      </c>
      <c r="N4" s="4"/>
      <c r="O4" s="4" t="s">
        <v>30</v>
      </c>
      <c r="P4" s="4" t="s">
        <v>26</v>
      </c>
      <c r="Q4" s="4" t="s">
        <v>26</v>
      </c>
      <c r="R4" s="4" t="s">
        <v>26</v>
      </c>
    </row>
    <row r="5" spans="1:18" ht="15" customHeight="1" x14ac:dyDescent="0.25">
      <c r="A5" s="3">
        <v>4</v>
      </c>
      <c r="B5" s="4">
        <v>177</v>
      </c>
      <c r="C5" s="4" t="s">
        <v>273</v>
      </c>
      <c r="D5" s="4"/>
      <c r="E5" s="4" t="s">
        <v>35</v>
      </c>
      <c r="F5" s="4" t="s">
        <v>36</v>
      </c>
      <c r="G5" s="4" t="s">
        <v>37</v>
      </c>
      <c r="H5" s="4"/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  <c r="N5" s="4"/>
      <c r="O5" s="4" t="s">
        <v>30</v>
      </c>
      <c r="P5" s="4" t="s">
        <v>26</v>
      </c>
      <c r="Q5" s="4" t="s">
        <v>38</v>
      </c>
      <c r="R5" s="4" t="s">
        <v>26</v>
      </c>
    </row>
    <row r="6" spans="1:18" x14ac:dyDescent="0.25">
      <c r="A6" s="3">
        <v>5</v>
      </c>
      <c r="B6" s="4">
        <v>177</v>
      </c>
      <c r="C6" s="4" t="s">
        <v>113</v>
      </c>
      <c r="D6" s="4" t="s">
        <v>295</v>
      </c>
      <c r="E6" s="4" t="s">
        <v>297</v>
      </c>
      <c r="F6" s="4" t="s">
        <v>296</v>
      </c>
      <c r="G6" s="4" t="s">
        <v>39</v>
      </c>
      <c r="H6" s="4"/>
      <c r="I6" s="4" t="s">
        <v>40</v>
      </c>
      <c r="J6" s="4" t="s">
        <v>298</v>
      </c>
      <c r="K6" s="4" t="s">
        <v>42</v>
      </c>
      <c r="L6" s="4" t="s">
        <v>43</v>
      </c>
      <c r="M6" s="4" t="s">
        <v>286</v>
      </c>
      <c r="N6" s="4"/>
      <c r="O6" s="4" t="s">
        <v>44</v>
      </c>
      <c r="P6" s="4" t="s">
        <v>26</v>
      </c>
      <c r="Q6" s="4" t="s">
        <v>294</v>
      </c>
      <c r="R6" s="4" t="s">
        <v>26</v>
      </c>
    </row>
    <row r="7" spans="1:18" x14ac:dyDescent="0.25">
      <c r="A7" s="3">
        <v>6</v>
      </c>
      <c r="B7" s="4">
        <v>177</v>
      </c>
      <c r="C7" s="4" t="s">
        <v>167</v>
      </c>
      <c r="D7" s="4" t="s">
        <v>167</v>
      </c>
      <c r="E7" s="4" t="s">
        <v>163</v>
      </c>
      <c r="F7" s="4" t="s">
        <v>166</v>
      </c>
      <c r="G7" s="4" t="s">
        <v>164</v>
      </c>
      <c r="H7" s="4"/>
      <c r="I7" s="4" t="s">
        <v>20</v>
      </c>
      <c r="J7" s="4" t="s">
        <v>21</v>
      </c>
      <c r="K7" s="4" t="s">
        <v>165</v>
      </c>
      <c r="L7" s="4" t="s">
        <v>23</v>
      </c>
      <c r="M7" s="4" t="s">
        <v>24</v>
      </c>
      <c r="N7" s="4"/>
      <c r="O7" s="4" t="s">
        <v>50</v>
      </c>
      <c r="P7" s="4" t="s">
        <v>26</v>
      </c>
      <c r="Q7" s="4" t="s">
        <v>26</v>
      </c>
      <c r="R7" s="4" t="s">
        <v>26</v>
      </c>
    </row>
    <row r="8" spans="1:18" x14ac:dyDescent="0.25">
      <c r="A8" s="3">
        <v>7</v>
      </c>
      <c r="B8" s="4">
        <v>177</v>
      </c>
      <c r="C8" s="4" t="s">
        <v>167</v>
      </c>
      <c r="D8" s="4" t="s">
        <v>167</v>
      </c>
      <c r="E8" s="4" t="s">
        <v>45</v>
      </c>
      <c r="F8" s="4" t="s">
        <v>46</v>
      </c>
      <c r="G8" s="4" t="s">
        <v>47</v>
      </c>
      <c r="H8" s="4"/>
      <c r="I8" s="4" t="s">
        <v>20</v>
      </c>
      <c r="J8" s="4" t="s">
        <v>21</v>
      </c>
      <c r="K8" s="4" t="s">
        <v>48</v>
      </c>
      <c r="L8" s="4" t="s">
        <v>43</v>
      </c>
      <c r="M8" s="4" t="s">
        <v>49</v>
      </c>
      <c r="N8" s="4"/>
      <c r="O8" s="4" t="s">
        <v>50</v>
      </c>
      <c r="P8" s="4" t="s">
        <v>26</v>
      </c>
      <c r="Q8" s="4" t="s">
        <v>51</v>
      </c>
      <c r="R8" s="4" t="s">
        <v>26</v>
      </c>
    </row>
    <row r="9" spans="1:18" x14ac:dyDescent="0.25">
      <c r="A9" s="3">
        <v>8</v>
      </c>
      <c r="B9" s="4">
        <v>177</v>
      </c>
      <c r="C9" s="4" t="s">
        <v>113</v>
      </c>
      <c r="D9" s="4" t="s">
        <v>302</v>
      </c>
      <c r="E9" s="4"/>
      <c r="F9" s="4"/>
      <c r="G9" s="4" t="s">
        <v>224</v>
      </c>
      <c r="H9" s="4"/>
      <c r="I9" s="4" t="s">
        <v>40</v>
      </c>
      <c r="J9" s="4" t="s">
        <v>287</v>
      </c>
      <c r="K9" s="4" t="s">
        <v>225</v>
      </c>
      <c r="L9" s="9" t="s">
        <v>288</v>
      </c>
      <c r="M9" s="9" t="s">
        <v>289</v>
      </c>
      <c r="N9" s="4"/>
      <c r="O9" s="4" t="s">
        <v>44</v>
      </c>
      <c r="P9" s="4" t="s">
        <v>26</v>
      </c>
      <c r="Q9" s="4" t="s">
        <v>26</v>
      </c>
      <c r="R9" s="4" t="s">
        <v>26</v>
      </c>
    </row>
    <row r="10" spans="1:18" x14ac:dyDescent="0.25">
      <c r="A10" s="3">
        <v>9</v>
      </c>
      <c r="B10" s="4">
        <v>177</v>
      </c>
      <c r="C10" s="4" t="s">
        <v>271</v>
      </c>
      <c r="D10" s="4" t="s">
        <v>271</v>
      </c>
      <c r="E10" s="4" t="s">
        <v>52</v>
      </c>
      <c r="F10" s="4" t="s">
        <v>53</v>
      </c>
      <c r="G10" s="4" t="s">
        <v>54</v>
      </c>
      <c r="H10" s="4"/>
      <c r="I10" s="4" t="s">
        <v>20</v>
      </c>
      <c r="J10" s="4" t="s">
        <v>21</v>
      </c>
      <c r="K10" s="4" t="s">
        <v>55</v>
      </c>
      <c r="L10" s="4" t="s">
        <v>56</v>
      </c>
      <c r="M10" s="4" t="s">
        <v>49</v>
      </c>
      <c r="N10" s="4"/>
      <c r="O10" s="4" t="s">
        <v>50</v>
      </c>
      <c r="P10" s="4" t="s">
        <v>26</v>
      </c>
      <c r="Q10" s="4" t="s">
        <v>57</v>
      </c>
      <c r="R10" s="4" t="s">
        <v>26</v>
      </c>
    </row>
    <row r="11" spans="1:18" x14ac:dyDescent="0.25">
      <c r="A11" s="3">
        <v>10</v>
      </c>
      <c r="B11" s="4">
        <v>177</v>
      </c>
      <c r="C11" s="4" t="s">
        <v>113</v>
      </c>
      <c r="D11" s="4" t="s">
        <v>169</v>
      </c>
      <c r="E11" s="4" t="s">
        <v>58</v>
      </c>
      <c r="F11" s="4" t="s">
        <v>59</v>
      </c>
      <c r="G11" s="4" t="s">
        <v>60</v>
      </c>
      <c r="H11" s="4"/>
      <c r="I11" s="4" t="s">
        <v>20</v>
      </c>
      <c r="J11" s="4" t="s">
        <v>21</v>
      </c>
      <c r="K11" s="4" t="s">
        <v>61</v>
      </c>
      <c r="L11" s="4" t="s">
        <v>62</v>
      </c>
      <c r="M11" s="4" t="s">
        <v>49</v>
      </c>
      <c r="N11" s="4"/>
      <c r="O11" s="4" t="s">
        <v>30</v>
      </c>
      <c r="P11" s="4" t="s">
        <v>26</v>
      </c>
      <c r="Q11" s="4" t="s">
        <v>26</v>
      </c>
      <c r="R11" s="4" t="s">
        <v>26</v>
      </c>
    </row>
    <row r="12" spans="1:18" s="12" customFormat="1" x14ac:dyDescent="0.25">
      <c r="A12" s="10">
        <v>11</v>
      </c>
      <c r="B12" s="11">
        <v>177</v>
      </c>
      <c r="C12" s="11" t="s">
        <v>113</v>
      </c>
      <c r="D12" s="11" t="s">
        <v>124</v>
      </c>
      <c r="E12" s="11" t="s">
        <v>64</v>
      </c>
      <c r="F12" s="11"/>
      <c r="G12" s="11" t="s">
        <v>65</v>
      </c>
      <c r="H12" s="11"/>
      <c r="I12" s="11" t="s">
        <v>40</v>
      </c>
      <c r="J12" s="11"/>
      <c r="K12" s="11" t="s">
        <v>42</v>
      </c>
      <c r="L12" s="11" t="s">
        <v>43</v>
      </c>
      <c r="M12" s="11" t="s">
        <v>24</v>
      </c>
      <c r="N12" s="11"/>
      <c r="O12" s="11" t="s">
        <v>44</v>
      </c>
      <c r="P12" s="11" t="s">
        <v>26</v>
      </c>
      <c r="Q12" s="11" t="s">
        <v>26</v>
      </c>
      <c r="R12" s="11" t="s">
        <v>26</v>
      </c>
    </row>
    <row r="13" spans="1:18" x14ac:dyDescent="0.25">
      <c r="A13" s="3">
        <v>12</v>
      </c>
      <c r="B13" s="4">
        <v>177</v>
      </c>
      <c r="C13" s="4" t="s">
        <v>113</v>
      </c>
      <c r="D13" s="4" t="s">
        <v>124</v>
      </c>
      <c r="E13" s="4" t="s">
        <v>66</v>
      </c>
      <c r="F13" s="4" t="s">
        <v>67</v>
      </c>
      <c r="G13" s="4" t="s">
        <v>68</v>
      </c>
      <c r="H13" s="4"/>
      <c r="I13" s="4" t="s">
        <v>20</v>
      </c>
      <c r="J13" s="4" t="s">
        <v>21</v>
      </c>
      <c r="K13" s="4" t="s">
        <v>69</v>
      </c>
      <c r="L13" s="4" t="s">
        <v>23</v>
      </c>
      <c r="M13" s="4" t="s">
        <v>24</v>
      </c>
      <c r="N13" s="4"/>
      <c r="O13" s="4" t="s">
        <v>50</v>
      </c>
      <c r="P13" s="4" t="s">
        <v>26</v>
      </c>
      <c r="Q13" s="4" t="s">
        <v>26</v>
      </c>
      <c r="R13" s="4" t="s">
        <v>26</v>
      </c>
    </row>
    <row r="14" spans="1:18" x14ac:dyDescent="0.25">
      <c r="A14" s="3">
        <v>13</v>
      </c>
      <c r="B14" s="4">
        <v>200</v>
      </c>
      <c r="C14" s="4" t="s">
        <v>73</v>
      </c>
      <c r="D14" s="4" t="s">
        <v>73</v>
      </c>
      <c r="E14" s="4" t="s">
        <v>70</v>
      </c>
      <c r="F14" s="4" t="s">
        <v>71</v>
      </c>
      <c r="G14" s="4" t="s">
        <v>72</v>
      </c>
      <c r="H14" s="4" t="s">
        <v>231</v>
      </c>
      <c r="I14" s="4" t="s">
        <v>20</v>
      </c>
      <c r="J14" s="4" t="s">
        <v>21</v>
      </c>
      <c r="K14" s="4" t="s">
        <v>69</v>
      </c>
      <c r="L14" s="4" t="s">
        <v>43</v>
      </c>
      <c r="M14" s="4" t="s">
        <v>49</v>
      </c>
      <c r="N14" s="4"/>
      <c r="O14" s="4" t="s">
        <v>50</v>
      </c>
      <c r="P14" s="4" t="s">
        <v>26</v>
      </c>
      <c r="Q14" s="4" t="s">
        <v>26</v>
      </c>
      <c r="R14" s="4" t="s">
        <v>26</v>
      </c>
    </row>
    <row r="15" spans="1:18" x14ac:dyDescent="0.25">
      <c r="A15" s="3">
        <v>14</v>
      </c>
      <c r="B15" s="4">
        <v>200</v>
      </c>
      <c r="C15" s="4" t="s">
        <v>73</v>
      </c>
      <c r="D15" s="4" t="s">
        <v>73</v>
      </c>
      <c r="E15" s="4" t="s">
        <v>74</v>
      </c>
      <c r="F15" s="4" t="s">
        <v>75</v>
      </c>
      <c r="G15" s="4" t="s">
        <v>76</v>
      </c>
      <c r="H15" s="4" t="s">
        <v>233</v>
      </c>
      <c r="I15" s="4" t="s">
        <v>40</v>
      </c>
      <c r="J15" s="9" t="s">
        <v>282</v>
      </c>
      <c r="K15" s="4" t="s">
        <v>77</v>
      </c>
      <c r="L15" s="9" t="s">
        <v>283</v>
      </c>
      <c r="M15" s="9" t="s">
        <v>284</v>
      </c>
      <c r="N15" s="4"/>
      <c r="O15" s="4" t="s">
        <v>50</v>
      </c>
      <c r="P15" s="4" t="s">
        <v>26</v>
      </c>
      <c r="Q15" s="4" t="s">
        <v>26</v>
      </c>
      <c r="R15" s="4" t="s">
        <v>281</v>
      </c>
    </row>
    <row r="16" spans="1:18" x14ac:dyDescent="0.25">
      <c r="A16" s="3">
        <v>15</v>
      </c>
      <c r="B16" s="4">
        <v>200</v>
      </c>
      <c r="C16" s="4" t="s">
        <v>73</v>
      </c>
      <c r="D16" s="4" t="s">
        <v>73</v>
      </c>
      <c r="E16" s="4" t="s">
        <v>78</v>
      </c>
      <c r="F16" s="4" t="s">
        <v>82</v>
      </c>
      <c r="G16" s="4" t="s">
        <v>79</v>
      </c>
      <c r="H16" s="4" t="s">
        <v>232</v>
      </c>
      <c r="I16" s="4" t="s">
        <v>20</v>
      </c>
      <c r="J16" s="4" t="s">
        <v>21</v>
      </c>
      <c r="K16" s="4" t="s">
        <v>80</v>
      </c>
      <c r="L16" s="4" t="s">
        <v>43</v>
      </c>
      <c r="M16" s="4" t="s">
        <v>49</v>
      </c>
      <c r="N16" s="4"/>
      <c r="O16" s="4" t="s">
        <v>81</v>
      </c>
      <c r="P16" s="4" t="s">
        <v>26</v>
      </c>
      <c r="Q16" s="4" t="s">
        <v>26</v>
      </c>
      <c r="R16" s="4" t="s">
        <v>26</v>
      </c>
    </row>
    <row r="17" spans="1:18" x14ac:dyDescent="0.25">
      <c r="A17" s="3">
        <v>16</v>
      </c>
      <c r="B17" s="4">
        <v>200</v>
      </c>
      <c r="C17" s="4" t="s">
        <v>73</v>
      </c>
      <c r="D17" s="4" t="s">
        <v>88</v>
      </c>
      <c r="E17" s="4" t="s">
        <v>83</v>
      </c>
      <c r="F17" s="4" t="s">
        <v>84</v>
      </c>
      <c r="G17" s="4" t="s">
        <v>85</v>
      </c>
      <c r="H17" s="4" t="s">
        <v>235</v>
      </c>
      <c r="I17" s="4" t="s">
        <v>20</v>
      </c>
      <c r="J17" s="4" t="s">
        <v>21</v>
      </c>
      <c r="K17" s="4" t="s">
        <v>86</v>
      </c>
      <c r="L17" s="4" t="s">
        <v>43</v>
      </c>
      <c r="M17" s="4" t="s">
        <v>49</v>
      </c>
      <c r="N17" s="4"/>
      <c r="O17" s="4" t="s">
        <v>81</v>
      </c>
      <c r="P17" s="4" t="s">
        <v>26</v>
      </c>
      <c r="Q17" s="4" t="s">
        <v>87</v>
      </c>
      <c r="R17" s="4" t="s">
        <v>26</v>
      </c>
    </row>
    <row r="18" spans="1:18" s="12" customFormat="1" x14ac:dyDescent="0.25">
      <c r="A18" s="10">
        <v>17</v>
      </c>
      <c r="B18" s="11">
        <v>200</v>
      </c>
      <c r="C18" s="11" t="s">
        <v>89</v>
      </c>
      <c r="D18" s="11" t="s">
        <v>89</v>
      </c>
      <c r="E18" s="11" t="s">
        <v>90</v>
      </c>
      <c r="F18" s="11"/>
      <c r="G18" s="11" t="s">
        <v>91</v>
      </c>
      <c r="H18" s="11" t="s">
        <v>239</v>
      </c>
      <c r="I18" s="11" t="s">
        <v>40</v>
      </c>
      <c r="J18" s="11"/>
      <c r="K18" s="11" t="s">
        <v>92</v>
      </c>
      <c r="L18" s="11" t="s">
        <v>23</v>
      </c>
      <c r="M18" s="11" t="s">
        <v>93</v>
      </c>
      <c r="N18" s="11"/>
      <c r="O18" s="11" t="s">
        <v>94</v>
      </c>
      <c r="P18" s="11" t="s">
        <v>26</v>
      </c>
      <c r="Q18" s="11" t="s">
        <v>26</v>
      </c>
      <c r="R18" s="11" t="s">
        <v>26</v>
      </c>
    </row>
    <row r="19" spans="1:18" x14ac:dyDescent="0.25">
      <c r="A19" s="3">
        <v>18</v>
      </c>
      <c r="B19" s="4">
        <v>200</v>
      </c>
      <c r="C19" s="4" t="s">
        <v>95</v>
      </c>
      <c r="D19" s="4" t="s">
        <v>95</v>
      </c>
      <c r="E19" s="4" t="s">
        <v>96</v>
      </c>
      <c r="F19" s="4" t="s">
        <v>97</v>
      </c>
      <c r="G19" s="4" t="s">
        <v>98</v>
      </c>
      <c r="H19" s="4" t="s">
        <v>240</v>
      </c>
      <c r="I19" s="4" t="s">
        <v>20</v>
      </c>
      <c r="J19" s="4" t="s">
        <v>21</v>
      </c>
      <c r="K19" s="4" t="s">
        <v>99</v>
      </c>
      <c r="L19" s="4" t="s">
        <v>43</v>
      </c>
      <c r="M19" s="4" t="s">
        <v>24</v>
      </c>
      <c r="N19" s="4"/>
      <c r="O19" s="4" t="s">
        <v>50</v>
      </c>
      <c r="P19" s="4" t="s">
        <v>26</v>
      </c>
      <c r="Q19" s="4" t="s">
        <v>26</v>
      </c>
      <c r="R19" s="4" t="s">
        <v>26</v>
      </c>
    </row>
    <row r="20" spans="1:18" x14ac:dyDescent="0.25">
      <c r="A20" s="3">
        <v>19</v>
      </c>
      <c r="B20" s="4">
        <v>200</v>
      </c>
      <c r="C20" s="4" t="s">
        <v>100</v>
      </c>
      <c r="D20" s="4" t="s">
        <v>100</v>
      </c>
      <c r="E20" s="4" t="s">
        <v>101</v>
      </c>
      <c r="F20" s="4" t="s">
        <v>102</v>
      </c>
      <c r="G20" s="4" t="s">
        <v>103</v>
      </c>
      <c r="H20" s="4" t="s">
        <v>238</v>
      </c>
      <c r="I20" s="4" t="s">
        <v>20</v>
      </c>
      <c r="J20" s="4" t="s">
        <v>21</v>
      </c>
      <c r="K20" s="4" t="s">
        <v>22</v>
      </c>
      <c r="L20" s="4" t="s">
        <v>43</v>
      </c>
      <c r="M20" s="4" t="s">
        <v>49</v>
      </c>
      <c r="N20" s="4"/>
      <c r="O20" s="4" t="s">
        <v>50</v>
      </c>
      <c r="P20" s="4" t="s">
        <v>26</v>
      </c>
      <c r="Q20" s="4" t="s">
        <v>26</v>
      </c>
      <c r="R20" s="4" t="s">
        <v>26</v>
      </c>
    </row>
    <row r="21" spans="1:18" x14ac:dyDescent="0.25">
      <c r="A21" s="3">
        <v>20</v>
      </c>
      <c r="B21" s="4">
        <v>200</v>
      </c>
      <c r="C21" s="4" t="s">
        <v>100</v>
      </c>
      <c r="D21" s="4" t="s">
        <v>100</v>
      </c>
      <c r="E21" s="4" t="s">
        <v>104</v>
      </c>
      <c r="F21" s="4" t="s">
        <v>107</v>
      </c>
      <c r="G21" s="4" t="s">
        <v>105</v>
      </c>
      <c r="H21" s="4" t="s">
        <v>236</v>
      </c>
      <c r="I21" s="4" t="s">
        <v>20</v>
      </c>
      <c r="J21" s="4" t="s">
        <v>21</v>
      </c>
      <c r="K21" s="4" t="s">
        <v>106</v>
      </c>
      <c r="L21" s="4" t="s">
        <v>56</v>
      </c>
      <c r="M21" s="4" t="s">
        <v>49</v>
      </c>
      <c r="N21" s="4"/>
      <c r="O21" s="4" t="s">
        <v>50</v>
      </c>
      <c r="P21" s="4" t="s">
        <v>26</v>
      </c>
      <c r="Q21" s="4" t="s">
        <v>26</v>
      </c>
      <c r="R21" s="4" t="s">
        <v>26</v>
      </c>
    </row>
    <row r="22" spans="1:18" x14ac:dyDescent="0.25">
      <c r="A22" s="3">
        <v>21</v>
      </c>
      <c r="B22" s="4">
        <v>200</v>
      </c>
      <c r="C22" s="4" t="s">
        <v>100</v>
      </c>
      <c r="D22" s="4" t="s">
        <v>100</v>
      </c>
      <c r="E22" s="4" t="s">
        <v>108</v>
      </c>
      <c r="F22" s="4" t="s">
        <v>112</v>
      </c>
      <c r="G22" s="4" t="s">
        <v>110</v>
      </c>
      <c r="H22" s="4" t="s">
        <v>237</v>
      </c>
      <c r="I22" s="4" t="s">
        <v>20</v>
      </c>
      <c r="J22" s="4" t="s">
        <v>21</v>
      </c>
      <c r="K22" s="4" t="s">
        <v>111</v>
      </c>
      <c r="L22" s="4" t="s">
        <v>43</v>
      </c>
      <c r="M22" s="4" t="s">
        <v>49</v>
      </c>
      <c r="N22" s="4"/>
      <c r="O22" s="4" t="s">
        <v>30</v>
      </c>
      <c r="P22" s="4" t="s">
        <v>26</v>
      </c>
      <c r="Q22" s="4" t="s">
        <v>26</v>
      </c>
      <c r="R22" s="4" t="s">
        <v>26</v>
      </c>
    </row>
    <row r="23" spans="1:18" x14ac:dyDescent="0.25">
      <c r="A23" s="3">
        <v>22</v>
      </c>
      <c r="B23" s="4">
        <v>200</v>
      </c>
      <c r="C23" s="4" t="s">
        <v>114</v>
      </c>
      <c r="D23" s="4" t="s">
        <v>114</v>
      </c>
      <c r="E23" s="4" t="s">
        <v>300</v>
      </c>
      <c r="F23" s="4" t="s">
        <v>118</v>
      </c>
      <c r="G23" s="4" t="s">
        <v>226</v>
      </c>
      <c r="H23" s="4" t="s">
        <v>241</v>
      </c>
      <c r="I23" s="4" t="s">
        <v>40</v>
      </c>
      <c r="J23" s="4" t="s">
        <v>299</v>
      </c>
      <c r="K23" s="4" t="s">
        <v>227</v>
      </c>
      <c r="L23" s="4" t="s">
        <v>285</v>
      </c>
      <c r="M23" s="4" t="s">
        <v>274</v>
      </c>
      <c r="N23" s="4"/>
      <c r="O23" s="4" t="s">
        <v>44</v>
      </c>
      <c r="P23" s="4" t="s">
        <v>26</v>
      </c>
      <c r="Q23" s="4" t="s">
        <v>26</v>
      </c>
      <c r="R23" s="4" t="s">
        <v>26</v>
      </c>
    </row>
    <row r="24" spans="1:18" x14ac:dyDescent="0.25">
      <c r="A24" s="3">
        <v>23</v>
      </c>
      <c r="B24" s="4">
        <v>200</v>
      </c>
      <c r="C24" s="4" t="s">
        <v>113</v>
      </c>
      <c r="D24" s="4" t="s">
        <v>114</v>
      </c>
      <c r="E24" s="4" t="s">
        <v>115</v>
      </c>
      <c r="F24" s="4" t="s">
        <v>118</v>
      </c>
      <c r="G24" s="4" t="s">
        <v>116</v>
      </c>
      <c r="H24" s="4" t="s">
        <v>242</v>
      </c>
      <c r="I24" s="4" t="s">
        <v>20</v>
      </c>
      <c r="J24" s="4" t="s">
        <v>21</v>
      </c>
      <c r="K24" s="4" t="s">
        <v>117</v>
      </c>
      <c r="L24" s="4" t="s">
        <v>43</v>
      </c>
      <c r="M24" s="4" t="s">
        <v>49</v>
      </c>
      <c r="N24" s="4"/>
      <c r="O24" s="4" t="s">
        <v>50</v>
      </c>
      <c r="P24" s="4" t="s">
        <v>26</v>
      </c>
      <c r="Q24" s="4" t="s">
        <v>26</v>
      </c>
      <c r="R24" s="4" t="s">
        <v>26</v>
      </c>
    </row>
    <row r="25" spans="1:18" x14ac:dyDescent="0.25">
      <c r="A25" s="3">
        <v>24</v>
      </c>
      <c r="B25" s="4">
        <v>200</v>
      </c>
      <c r="C25" s="4" t="s">
        <v>113</v>
      </c>
      <c r="D25" s="4" t="s">
        <v>114</v>
      </c>
      <c r="E25" s="4" t="s">
        <v>119</v>
      </c>
      <c r="F25" s="4" t="s">
        <v>120</v>
      </c>
      <c r="G25" s="4" t="s">
        <v>181</v>
      </c>
      <c r="H25" s="4" t="s">
        <v>243</v>
      </c>
      <c r="I25" s="4" t="s">
        <v>40</v>
      </c>
      <c r="J25" s="4" t="s">
        <v>275</v>
      </c>
      <c r="K25" s="4" t="s">
        <v>182</v>
      </c>
      <c r="L25" s="9" t="s">
        <v>276</v>
      </c>
      <c r="M25" s="9" t="s">
        <v>277</v>
      </c>
      <c r="N25" s="4"/>
      <c r="O25" s="4" t="s">
        <v>94</v>
      </c>
      <c r="P25" s="4" t="s">
        <v>26</v>
      </c>
      <c r="Q25" s="4" t="s">
        <v>26</v>
      </c>
      <c r="R25" s="4" t="s">
        <v>26</v>
      </c>
    </row>
    <row r="26" spans="1:18" x14ac:dyDescent="0.25">
      <c r="A26" s="3">
        <v>25</v>
      </c>
      <c r="B26" s="4">
        <v>200</v>
      </c>
      <c r="C26" s="4" t="s">
        <v>113</v>
      </c>
      <c r="D26" s="4" t="s">
        <v>114</v>
      </c>
      <c r="E26" s="4" t="s">
        <v>121</v>
      </c>
      <c r="F26" s="4" t="s">
        <v>122</v>
      </c>
      <c r="G26" s="4" t="s">
        <v>123</v>
      </c>
      <c r="H26" s="4" t="s">
        <v>244</v>
      </c>
      <c r="I26" s="4" t="s">
        <v>20</v>
      </c>
      <c r="J26" s="4" t="s">
        <v>21</v>
      </c>
      <c r="K26" s="4" t="s">
        <v>22</v>
      </c>
      <c r="L26" s="4" t="s">
        <v>23</v>
      </c>
      <c r="M26" s="4" t="s">
        <v>49</v>
      </c>
      <c r="N26" s="4"/>
      <c r="O26" s="4" t="s">
        <v>50</v>
      </c>
      <c r="P26" s="4" t="s">
        <v>26</v>
      </c>
      <c r="Q26" s="4" t="s">
        <v>26</v>
      </c>
      <c r="R26" s="4" t="s">
        <v>26</v>
      </c>
    </row>
    <row r="27" spans="1:18" x14ac:dyDescent="0.25">
      <c r="A27" s="3">
        <v>26</v>
      </c>
      <c r="B27" s="4">
        <v>200</v>
      </c>
      <c r="C27" s="4" t="s">
        <v>113</v>
      </c>
      <c r="D27" s="4" t="s">
        <v>124</v>
      </c>
      <c r="E27" s="4" t="s">
        <v>125</v>
      </c>
      <c r="F27" s="4" t="s">
        <v>126</v>
      </c>
      <c r="G27" s="4" t="s">
        <v>127</v>
      </c>
      <c r="H27" s="4" t="s">
        <v>245</v>
      </c>
      <c r="I27" s="4" t="s">
        <v>40</v>
      </c>
      <c r="J27" s="4"/>
      <c r="K27" s="4" t="s">
        <v>128</v>
      </c>
      <c r="L27" s="4" t="s">
        <v>43</v>
      </c>
      <c r="M27" s="4" t="s">
        <v>24</v>
      </c>
      <c r="N27" s="4"/>
      <c r="O27" s="4" t="s">
        <v>129</v>
      </c>
      <c r="P27" s="4" t="s">
        <v>26</v>
      </c>
      <c r="Q27" s="4" t="s">
        <v>26</v>
      </c>
      <c r="R27" s="4" t="s">
        <v>26</v>
      </c>
    </row>
    <row r="28" spans="1:18" x14ac:dyDescent="0.25">
      <c r="A28" s="3">
        <v>27</v>
      </c>
      <c r="B28" s="4">
        <v>200</v>
      </c>
      <c r="C28" s="4" t="s">
        <v>130</v>
      </c>
      <c r="D28" s="4" t="s">
        <v>131</v>
      </c>
      <c r="E28" s="4" t="s">
        <v>132</v>
      </c>
      <c r="F28" s="4" t="s">
        <v>133</v>
      </c>
      <c r="G28" s="4" t="s">
        <v>109</v>
      </c>
      <c r="H28" s="4" t="s">
        <v>246</v>
      </c>
      <c r="I28" s="4" t="s">
        <v>20</v>
      </c>
      <c r="J28" s="4" t="s">
        <v>21</v>
      </c>
      <c r="K28" s="4" t="s">
        <v>134</v>
      </c>
      <c r="L28" s="4" t="s">
        <v>43</v>
      </c>
      <c r="M28" s="4" t="s">
        <v>49</v>
      </c>
      <c r="N28" s="4"/>
      <c r="O28" s="4" t="s">
        <v>50</v>
      </c>
      <c r="P28" s="4" t="s">
        <v>26</v>
      </c>
      <c r="Q28" s="4" t="s">
        <v>26</v>
      </c>
      <c r="R28" s="4" t="s">
        <v>26</v>
      </c>
    </row>
    <row r="29" spans="1:18" x14ac:dyDescent="0.25">
      <c r="A29" s="3">
        <v>28</v>
      </c>
      <c r="B29" s="4">
        <v>200</v>
      </c>
      <c r="C29" s="4" t="s">
        <v>130</v>
      </c>
      <c r="D29" s="4" t="s">
        <v>131</v>
      </c>
      <c r="E29" s="4" t="s">
        <v>135</v>
      </c>
      <c r="F29" s="4" t="s">
        <v>136</v>
      </c>
      <c r="G29" s="4" t="s">
        <v>137</v>
      </c>
      <c r="H29" s="4" t="s">
        <v>247</v>
      </c>
      <c r="I29" s="4" t="s">
        <v>20</v>
      </c>
      <c r="J29" s="4" t="s">
        <v>21</v>
      </c>
      <c r="K29" s="4" t="s">
        <v>111</v>
      </c>
      <c r="L29" s="4" t="s">
        <v>43</v>
      </c>
      <c r="M29" s="4" t="s">
        <v>49</v>
      </c>
      <c r="N29" s="4"/>
      <c r="O29" s="4" t="s">
        <v>50</v>
      </c>
      <c r="P29" s="4" t="s">
        <v>26</v>
      </c>
      <c r="Q29" s="4" t="s">
        <v>26</v>
      </c>
      <c r="R29" s="4" t="s">
        <v>26</v>
      </c>
    </row>
    <row r="30" spans="1:18" x14ac:dyDescent="0.25">
      <c r="A30" s="3">
        <v>29</v>
      </c>
      <c r="B30" s="4">
        <v>200</v>
      </c>
      <c r="C30" s="4" t="s">
        <v>130</v>
      </c>
      <c r="D30" s="4" t="s">
        <v>138</v>
      </c>
      <c r="E30" s="4" t="s">
        <v>139</v>
      </c>
      <c r="F30" s="4" t="s">
        <v>141</v>
      </c>
      <c r="G30" s="4" t="s">
        <v>140</v>
      </c>
      <c r="H30" s="4" t="s">
        <v>248</v>
      </c>
      <c r="I30" s="4" t="s">
        <v>20</v>
      </c>
      <c r="J30" s="4" t="s">
        <v>21</v>
      </c>
      <c r="K30" s="4" t="s">
        <v>111</v>
      </c>
      <c r="L30" s="4" t="s">
        <v>43</v>
      </c>
      <c r="M30" s="4" t="s">
        <v>49</v>
      </c>
      <c r="N30" s="4"/>
      <c r="O30" s="4" t="s">
        <v>30</v>
      </c>
      <c r="P30" s="4" t="s">
        <v>26</v>
      </c>
      <c r="Q30" s="4" t="s">
        <v>26</v>
      </c>
      <c r="R30" s="4" t="s">
        <v>26</v>
      </c>
    </row>
    <row r="31" spans="1:18" x14ac:dyDescent="0.25">
      <c r="A31" s="3">
        <v>30</v>
      </c>
      <c r="B31" s="4">
        <v>200</v>
      </c>
      <c r="C31" s="4" t="s">
        <v>130</v>
      </c>
      <c r="D31" s="4" t="s">
        <v>138</v>
      </c>
      <c r="E31" s="4" t="s">
        <v>142</v>
      </c>
      <c r="F31" s="4" t="s">
        <v>143</v>
      </c>
      <c r="G31" s="4" t="s">
        <v>144</v>
      </c>
      <c r="H31" s="4" t="s">
        <v>249</v>
      </c>
      <c r="I31" s="4" t="s">
        <v>20</v>
      </c>
      <c r="J31" s="4" t="s">
        <v>21</v>
      </c>
      <c r="K31" s="4" t="s">
        <v>86</v>
      </c>
      <c r="L31" s="4" t="s">
        <v>43</v>
      </c>
      <c r="M31" s="4" t="s">
        <v>49</v>
      </c>
      <c r="N31" s="4"/>
      <c r="O31" s="4" t="s">
        <v>50</v>
      </c>
      <c r="P31" s="4" t="s">
        <v>26</v>
      </c>
      <c r="Q31" s="4" t="s">
        <v>26</v>
      </c>
      <c r="R31" s="4" t="s">
        <v>26</v>
      </c>
    </row>
    <row r="32" spans="1:18" x14ac:dyDescent="0.25">
      <c r="A32" s="3">
        <v>31</v>
      </c>
      <c r="B32" s="4">
        <v>200</v>
      </c>
      <c r="C32" s="4" t="s">
        <v>130</v>
      </c>
      <c r="D32" s="4" t="s">
        <v>138</v>
      </c>
      <c r="E32" s="4" t="s">
        <v>145</v>
      </c>
      <c r="F32" s="4" t="s">
        <v>146</v>
      </c>
      <c r="G32" s="4" t="s">
        <v>147</v>
      </c>
      <c r="H32" s="4" t="s">
        <v>250</v>
      </c>
      <c r="I32" s="4" t="s">
        <v>20</v>
      </c>
      <c r="J32" s="4" t="s">
        <v>21</v>
      </c>
      <c r="K32" s="4" t="s">
        <v>148</v>
      </c>
      <c r="L32" s="4" t="s">
        <v>56</v>
      </c>
      <c r="M32" s="4" t="s">
        <v>49</v>
      </c>
      <c r="N32" s="4"/>
      <c r="O32" s="4" t="s">
        <v>50</v>
      </c>
      <c r="P32" s="4" t="s">
        <v>26</v>
      </c>
      <c r="Q32" s="4" t="s">
        <v>26</v>
      </c>
      <c r="R32" s="4" t="s">
        <v>26</v>
      </c>
    </row>
    <row r="33" spans="1:18" x14ac:dyDescent="0.25">
      <c r="A33" s="3">
        <v>32</v>
      </c>
      <c r="B33" s="4">
        <v>200</v>
      </c>
      <c r="C33" s="4" t="s">
        <v>130</v>
      </c>
      <c r="D33" s="4" t="s">
        <v>138</v>
      </c>
      <c r="E33" s="4" t="s">
        <v>149</v>
      </c>
      <c r="F33" s="4" t="s">
        <v>150</v>
      </c>
      <c r="G33" s="4" t="s">
        <v>151</v>
      </c>
      <c r="H33" s="4" t="s">
        <v>251</v>
      </c>
      <c r="I33" s="4" t="s">
        <v>20</v>
      </c>
      <c r="J33" s="4" t="s">
        <v>21</v>
      </c>
      <c r="K33" s="4" t="s">
        <v>152</v>
      </c>
      <c r="L33" s="4" t="s">
        <v>43</v>
      </c>
      <c r="M33" s="4" t="s">
        <v>49</v>
      </c>
      <c r="N33" s="4"/>
      <c r="O33" s="4" t="s">
        <v>30</v>
      </c>
      <c r="P33" s="4" t="s">
        <v>26</v>
      </c>
      <c r="Q33" s="4" t="s">
        <v>26</v>
      </c>
      <c r="R33" s="4" t="s">
        <v>26</v>
      </c>
    </row>
    <row r="34" spans="1:18" x14ac:dyDescent="0.25">
      <c r="A34" s="3">
        <v>33</v>
      </c>
      <c r="B34" s="4">
        <v>200</v>
      </c>
      <c r="C34" s="4" t="s">
        <v>153</v>
      </c>
      <c r="D34" s="4" t="s">
        <v>153</v>
      </c>
      <c r="E34" s="4" t="s">
        <v>154</v>
      </c>
      <c r="F34" s="4" t="s">
        <v>155</v>
      </c>
      <c r="G34" s="4" t="s">
        <v>156</v>
      </c>
      <c r="H34" s="4" t="s">
        <v>234</v>
      </c>
      <c r="I34" s="4" t="s">
        <v>20</v>
      </c>
      <c r="J34" s="4" t="s">
        <v>21</v>
      </c>
      <c r="K34" s="4" t="s">
        <v>157</v>
      </c>
      <c r="L34" s="4" t="s">
        <v>23</v>
      </c>
      <c r="M34" s="4" t="s">
        <v>24</v>
      </c>
      <c r="N34" s="4"/>
      <c r="O34" s="4" t="s">
        <v>30</v>
      </c>
      <c r="P34" s="4" t="s">
        <v>26</v>
      </c>
      <c r="Q34" s="4" t="s">
        <v>26</v>
      </c>
      <c r="R34" s="4" t="s">
        <v>26</v>
      </c>
    </row>
    <row r="35" spans="1:18" x14ac:dyDescent="0.25">
      <c r="A35" s="3">
        <v>34</v>
      </c>
      <c r="B35" s="4">
        <v>200</v>
      </c>
      <c r="C35" s="4" t="s">
        <v>153</v>
      </c>
      <c r="D35" s="4" t="s">
        <v>153</v>
      </c>
      <c r="E35" s="4" t="s">
        <v>158</v>
      </c>
      <c r="F35" s="4"/>
      <c r="G35" s="4" t="s">
        <v>34</v>
      </c>
      <c r="H35" s="4" t="s">
        <v>252</v>
      </c>
      <c r="I35" s="4" t="s">
        <v>20</v>
      </c>
      <c r="J35" s="4" t="s">
        <v>21</v>
      </c>
      <c r="K35" s="4" t="s">
        <v>22</v>
      </c>
      <c r="L35" s="4" t="s">
        <v>23</v>
      </c>
      <c r="M35" s="4" t="s">
        <v>24</v>
      </c>
      <c r="N35" s="4"/>
      <c r="O35" s="4" t="s">
        <v>81</v>
      </c>
      <c r="P35" s="4" t="s">
        <v>26</v>
      </c>
      <c r="Q35" s="4" t="s">
        <v>26</v>
      </c>
      <c r="R35" s="4" t="s">
        <v>26</v>
      </c>
    </row>
    <row r="36" spans="1:18" x14ac:dyDescent="0.25">
      <c r="A36" s="3">
        <v>35</v>
      </c>
      <c r="B36" s="4">
        <v>200</v>
      </c>
      <c r="C36" s="4" t="s">
        <v>153</v>
      </c>
      <c r="D36" s="4" t="s">
        <v>153</v>
      </c>
      <c r="E36" s="4" t="s">
        <v>159</v>
      </c>
      <c r="F36" s="4" t="s">
        <v>160</v>
      </c>
      <c r="G36" s="4" t="s">
        <v>161</v>
      </c>
      <c r="H36" s="4" t="s">
        <v>253</v>
      </c>
      <c r="I36" s="4" t="s">
        <v>40</v>
      </c>
      <c r="J36" s="4" t="s">
        <v>41</v>
      </c>
      <c r="K36" s="4" t="s">
        <v>92</v>
      </c>
      <c r="L36" s="4" t="s">
        <v>23</v>
      </c>
      <c r="M36" s="4" t="s">
        <v>93</v>
      </c>
      <c r="N36" s="4"/>
      <c r="O36" s="4" t="s">
        <v>30</v>
      </c>
      <c r="P36" s="4" t="s">
        <v>26</v>
      </c>
      <c r="Q36" s="4" t="s">
        <v>26</v>
      </c>
      <c r="R36" s="4" t="s">
        <v>162</v>
      </c>
    </row>
    <row r="37" spans="1:18" x14ac:dyDescent="0.25">
      <c r="A37" s="3">
        <v>36</v>
      </c>
      <c r="B37" s="4">
        <v>200</v>
      </c>
      <c r="C37" s="4" t="s">
        <v>167</v>
      </c>
      <c r="D37" s="4" t="s">
        <v>167</v>
      </c>
      <c r="E37" s="4" t="s">
        <v>301</v>
      </c>
      <c r="F37" s="4" t="s">
        <v>290</v>
      </c>
      <c r="G37" s="4" t="s">
        <v>171</v>
      </c>
      <c r="H37" s="4" t="s">
        <v>254</v>
      </c>
      <c r="I37" s="4" t="s">
        <v>40</v>
      </c>
      <c r="J37" s="4" t="s">
        <v>291</v>
      </c>
      <c r="K37" s="4" t="s">
        <v>172</v>
      </c>
      <c r="L37" s="9" t="s">
        <v>292</v>
      </c>
      <c r="M37" s="9" t="s">
        <v>293</v>
      </c>
      <c r="N37" s="4"/>
      <c r="O37" s="4" t="s">
        <v>44</v>
      </c>
      <c r="P37" s="4" t="s">
        <v>26</v>
      </c>
      <c r="Q37" s="4" t="s">
        <v>26</v>
      </c>
      <c r="R37" s="4" t="s">
        <v>26</v>
      </c>
    </row>
    <row r="38" spans="1:18" x14ac:dyDescent="0.25">
      <c r="A38" s="3">
        <v>37</v>
      </c>
      <c r="B38" s="4">
        <v>200</v>
      </c>
      <c r="C38" s="4" t="s">
        <v>168</v>
      </c>
      <c r="D38" s="4" t="s">
        <v>168</v>
      </c>
      <c r="E38" s="4" t="s">
        <v>173</v>
      </c>
      <c r="F38" s="4" t="s">
        <v>174</v>
      </c>
      <c r="G38" s="4" t="s">
        <v>175</v>
      </c>
      <c r="H38" s="4" t="s">
        <v>255</v>
      </c>
      <c r="I38" s="4" t="s">
        <v>20</v>
      </c>
      <c r="J38" s="4" t="s">
        <v>21</v>
      </c>
      <c r="K38" s="4" t="s">
        <v>165</v>
      </c>
      <c r="L38" s="4" t="s">
        <v>23</v>
      </c>
      <c r="M38" s="4" t="s">
        <v>24</v>
      </c>
      <c r="N38" s="4"/>
      <c r="O38" s="4" t="s">
        <v>30</v>
      </c>
      <c r="P38" s="4" t="s">
        <v>26</v>
      </c>
      <c r="Q38" s="4" t="s">
        <v>176</v>
      </c>
      <c r="R38" s="4" t="s">
        <v>26</v>
      </c>
    </row>
    <row r="39" spans="1:18" x14ac:dyDescent="0.25">
      <c r="A39" s="3">
        <v>38</v>
      </c>
      <c r="B39" s="4">
        <v>200</v>
      </c>
      <c r="C39" s="4" t="s">
        <v>168</v>
      </c>
      <c r="D39" s="4" t="s">
        <v>168</v>
      </c>
      <c r="E39" s="4" t="s">
        <v>177</v>
      </c>
      <c r="F39" s="4" t="s">
        <v>178</v>
      </c>
      <c r="G39" s="4" t="s">
        <v>179</v>
      </c>
      <c r="H39" s="4" t="s">
        <v>256</v>
      </c>
      <c r="I39" s="4" t="s">
        <v>20</v>
      </c>
      <c r="J39" s="4" t="s">
        <v>21</v>
      </c>
      <c r="K39" s="4" t="s">
        <v>22</v>
      </c>
      <c r="L39" s="4" t="s">
        <v>43</v>
      </c>
      <c r="M39" s="4" t="s">
        <v>49</v>
      </c>
      <c r="N39" s="4"/>
      <c r="O39" s="4" t="s">
        <v>50</v>
      </c>
      <c r="P39" s="4" t="s">
        <v>26</v>
      </c>
      <c r="Q39" s="4" t="s">
        <v>180</v>
      </c>
      <c r="R39" s="4" t="s">
        <v>26</v>
      </c>
    </row>
    <row r="40" spans="1:18" s="12" customFormat="1" x14ac:dyDescent="0.25">
      <c r="A40" s="10">
        <v>39</v>
      </c>
      <c r="B40" s="11">
        <v>200</v>
      </c>
      <c r="C40" s="11" t="s">
        <v>183</v>
      </c>
      <c r="D40" s="11" t="s">
        <v>184</v>
      </c>
      <c r="E40" s="11" t="s">
        <v>185</v>
      </c>
      <c r="F40" s="11" t="s">
        <v>186</v>
      </c>
      <c r="G40" s="11" t="s">
        <v>187</v>
      </c>
      <c r="H40" s="11" t="s">
        <v>257</v>
      </c>
      <c r="I40" s="11" t="s">
        <v>40</v>
      </c>
      <c r="J40" s="11" t="s">
        <v>188</v>
      </c>
      <c r="K40" s="11" t="s">
        <v>182</v>
      </c>
      <c r="L40" s="11" t="s">
        <v>23</v>
      </c>
      <c r="M40" s="11" t="s">
        <v>24</v>
      </c>
      <c r="N40" s="11"/>
      <c r="O40" s="11" t="s">
        <v>94</v>
      </c>
      <c r="P40" s="11" t="s">
        <v>26</v>
      </c>
      <c r="Q40" s="11" t="s">
        <v>26</v>
      </c>
      <c r="R40" s="11" t="s">
        <v>26</v>
      </c>
    </row>
    <row r="41" spans="1:18" x14ac:dyDescent="0.25">
      <c r="A41" s="3">
        <v>40</v>
      </c>
      <c r="B41" s="4">
        <v>200</v>
      </c>
      <c r="C41" s="4" t="s">
        <v>183</v>
      </c>
      <c r="D41" s="4" t="s">
        <v>184</v>
      </c>
      <c r="E41" s="4" t="s">
        <v>189</v>
      </c>
      <c r="F41" s="4" t="s">
        <v>190</v>
      </c>
      <c r="G41" s="4" t="s">
        <v>191</v>
      </c>
      <c r="H41" s="4" t="s">
        <v>258</v>
      </c>
      <c r="I41" s="4" t="s">
        <v>20</v>
      </c>
      <c r="J41" s="4" t="s">
        <v>21</v>
      </c>
      <c r="K41" s="4" t="s">
        <v>192</v>
      </c>
      <c r="L41" s="4" t="s">
        <v>43</v>
      </c>
      <c r="M41" s="4" t="s">
        <v>24</v>
      </c>
      <c r="N41" s="4"/>
      <c r="O41" s="4" t="s">
        <v>30</v>
      </c>
      <c r="P41" s="4" t="s">
        <v>26</v>
      </c>
      <c r="Q41" s="4" t="s">
        <v>26</v>
      </c>
      <c r="R41" s="4" t="s">
        <v>26</v>
      </c>
    </row>
    <row r="42" spans="1:18" x14ac:dyDescent="0.25">
      <c r="A42" s="3">
        <v>41</v>
      </c>
      <c r="B42" s="4">
        <v>200</v>
      </c>
      <c r="C42" s="4" t="s">
        <v>183</v>
      </c>
      <c r="D42" s="4" t="s">
        <v>184</v>
      </c>
      <c r="E42" s="4" t="s">
        <v>193</v>
      </c>
      <c r="F42" s="4" t="s">
        <v>194</v>
      </c>
      <c r="G42" s="4" t="s">
        <v>195</v>
      </c>
      <c r="H42" s="4" t="s">
        <v>259</v>
      </c>
      <c r="I42" s="4" t="s">
        <v>20</v>
      </c>
      <c r="J42" s="4" t="s">
        <v>21</v>
      </c>
      <c r="K42" s="4" t="s">
        <v>117</v>
      </c>
      <c r="L42" s="4" t="s">
        <v>43</v>
      </c>
      <c r="M42" s="4" t="s">
        <v>49</v>
      </c>
      <c r="N42" s="4"/>
      <c r="O42" s="4" t="s">
        <v>30</v>
      </c>
      <c r="P42" s="4" t="s">
        <v>26</v>
      </c>
      <c r="Q42" s="4" t="s">
        <v>26</v>
      </c>
      <c r="R42" s="4" t="s">
        <v>26</v>
      </c>
    </row>
    <row r="43" spans="1:18" x14ac:dyDescent="0.25">
      <c r="A43" s="3">
        <v>42</v>
      </c>
      <c r="B43" s="4">
        <v>200</v>
      </c>
      <c r="C43" s="4" t="s">
        <v>183</v>
      </c>
      <c r="D43" s="4" t="s">
        <v>184</v>
      </c>
      <c r="E43" s="4" t="s">
        <v>198</v>
      </c>
      <c r="F43" s="4" t="s">
        <v>199</v>
      </c>
      <c r="G43" s="4" t="s">
        <v>200</v>
      </c>
      <c r="H43" s="4" t="s">
        <v>260</v>
      </c>
      <c r="I43" s="4" t="s">
        <v>20</v>
      </c>
      <c r="J43" s="4" t="s">
        <v>21</v>
      </c>
      <c r="K43" s="4" t="s">
        <v>165</v>
      </c>
      <c r="L43" s="4" t="s">
        <v>23</v>
      </c>
      <c r="M43" s="4" t="s">
        <v>24</v>
      </c>
      <c r="N43" s="4"/>
      <c r="O43" s="4" t="s">
        <v>30</v>
      </c>
      <c r="P43" s="4" t="s">
        <v>26</v>
      </c>
      <c r="Q43" s="4" t="s">
        <v>26</v>
      </c>
      <c r="R43" s="4" t="s">
        <v>26</v>
      </c>
    </row>
    <row r="44" spans="1:18" ht="13.9" customHeight="1" x14ac:dyDescent="0.25">
      <c r="A44" s="3">
        <v>43</v>
      </c>
      <c r="B44" s="4">
        <v>200</v>
      </c>
      <c r="C44" s="4" t="s">
        <v>183</v>
      </c>
      <c r="D44" s="4" t="s">
        <v>184</v>
      </c>
      <c r="E44" s="4" t="s">
        <v>201</v>
      </c>
      <c r="F44" s="4" t="s">
        <v>202</v>
      </c>
      <c r="G44" s="4" t="s">
        <v>203</v>
      </c>
      <c r="H44" s="4" t="s">
        <v>261</v>
      </c>
      <c r="I44" s="4" t="s">
        <v>20</v>
      </c>
      <c r="J44" s="4" t="s">
        <v>21</v>
      </c>
      <c r="K44" s="4" t="s">
        <v>111</v>
      </c>
      <c r="L44" s="4" t="s">
        <v>43</v>
      </c>
      <c r="M44" s="4" t="s">
        <v>49</v>
      </c>
      <c r="N44" s="4"/>
      <c r="O44" s="4" t="s">
        <v>81</v>
      </c>
      <c r="P44" s="4" t="s">
        <v>26</v>
      </c>
      <c r="Q44" s="4" t="s">
        <v>26</v>
      </c>
      <c r="R44" s="4" t="s">
        <v>26</v>
      </c>
    </row>
    <row r="45" spans="1:18" x14ac:dyDescent="0.25">
      <c r="A45" s="3">
        <v>44</v>
      </c>
      <c r="B45" s="4">
        <v>200</v>
      </c>
      <c r="C45" s="4" t="s">
        <v>183</v>
      </c>
      <c r="D45" s="4" t="s">
        <v>184</v>
      </c>
      <c r="E45" s="4" t="s">
        <v>204</v>
      </c>
      <c r="F45" s="4" t="s">
        <v>205</v>
      </c>
      <c r="G45" s="4" t="s">
        <v>206</v>
      </c>
      <c r="H45" s="4" t="s">
        <v>262</v>
      </c>
      <c r="I45" s="4" t="s">
        <v>20</v>
      </c>
      <c r="J45" s="4" t="s">
        <v>21</v>
      </c>
      <c r="K45" s="4" t="s">
        <v>134</v>
      </c>
      <c r="L45" s="4" t="s">
        <v>43</v>
      </c>
      <c r="M45" s="4" t="s">
        <v>49</v>
      </c>
      <c r="N45" s="4"/>
      <c r="O45" s="4" t="s">
        <v>30</v>
      </c>
      <c r="P45" s="4" t="s">
        <v>26</v>
      </c>
      <c r="Q45" s="4" t="s">
        <v>26</v>
      </c>
      <c r="R45" s="4" t="s">
        <v>26</v>
      </c>
    </row>
    <row r="46" spans="1:18" x14ac:dyDescent="0.25">
      <c r="A46" s="3">
        <v>45</v>
      </c>
      <c r="B46" s="4">
        <v>200</v>
      </c>
      <c r="C46" s="4" t="s">
        <v>183</v>
      </c>
      <c r="D46" s="4" t="s">
        <v>184</v>
      </c>
      <c r="E46" s="4" t="s">
        <v>207</v>
      </c>
      <c r="F46" s="4" t="s">
        <v>208</v>
      </c>
      <c r="G46" s="4" t="s">
        <v>209</v>
      </c>
      <c r="H46" s="4" t="s">
        <v>263</v>
      </c>
      <c r="I46" s="4" t="s">
        <v>20</v>
      </c>
      <c r="J46" s="4" t="s">
        <v>21</v>
      </c>
      <c r="K46" s="4" t="s">
        <v>61</v>
      </c>
      <c r="L46" s="4" t="s">
        <v>56</v>
      </c>
      <c r="M46" s="4" t="s">
        <v>49</v>
      </c>
      <c r="N46" s="4"/>
      <c r="O46" s="4" t="s">
        <v>81</v>
      </c>
      <c r="P46" s="4" t="s">
        <v>26</v>
      </c>
      <c r="Q46" s="4" t="s">
        <v>26</v>
      </c>
      <c r="R46" s="4" t="s">
        <v>26</v>
      </c>
    </row>
    <row r="47" spans="1:18" x14ac:dyDescent="0.25">
      <c r="A47" s="3">
        <v>46</v>
      </c>
      <c r="B47" s="4">
        <v>200</v>
      </c>
      <c r="C47" s="4" t="s">
        <v>183</v>
      </c>
      <c r="D47" s="4" t="s">
        <v>184</v>
      </c>
      <c r="E47" s="4" t="s">
        <v>210</v>
      </c>
      <c r="F47" s="4" t="s">
        <v>211</v>
      </c>
      <c r="G47" s="4" t="s">
        <v>212</v>
      </c>
      <c r="H47" s="4" t="s">
        <v>264</v>
      </c>
      <c r="I47" s="4" t="s">
        <v>214</v>
      </c>
      <c r="J47" s="4" t="s">
        <v>214</v>
      </c>
      <c r="K47" s="4" t="s">
        <v>213</v>
      </c>
      <c r="L47" s="4" t="s">
        <v>43</v>
      </c>
      <c r="M47" s="4" t="s">
        <v>49</v>
      </c>
      <c r="N47" s="4"/>
      <c r="O47" s="4" t="s">
        <v>50</v>
      </c>
      <c r="P47" s="4" t="s">
        <v>26</v>
      </c>
      <c r="Q47" s="4" t="s">
        <v>26</v>
      </c>
      <c r="R47" s="4" t="s">
        <v>26</v>
      </c>
    </row>
    <row r="48" spans="1:18" x14ac:dyDescent="0.25">
      <c r="A48" s="3">
        <v>47</v>
      </c>
      <c r="B48" s="4">
        <v>200</v>
      </c>
      <c r="C48" s="4" t="s">
        <v>183</v>
      </c>
      <c r="D48" s="4" t="s">
        <v>184</v>
      </c>
      <c r="E48" s="4" t="s">
        <v>215</v>
      </c>
      <c r="F48" s="4" t="s">
        <v>216</v>
      </c>
      <c r="G48" s="4" t="s">
        <v>217</v>
      </c>
      <c r="H48" s="4" t="s">
        <v>265</v>
      </c>
      <c r="I48" s="4" t="s">
        <v>20</v>
      </c>
      <c r="J48" s="4" t="s">
        <v>21</v>
      </c>
      <c r="K48" s="4" t="s">
        <v>61</v>
      </c>
      <c r="L48" s="4" t="s">
        <v>56</v>
      </c>
      <c r="M48" s="4" t="s">
        <v>49</v>
      </c>
      <c r="N48" s="4"/>
      <c r="O48" s="4" t="s">
        <v>30</v>
      </c>
      <c r="P48" s="4" t="s">
        <v>26</v>
      </c>
      <c r="Q48" s="4" t="s">
        <v>26</v>
      </c>
      <c r="R48" s="4" t="s">
        <v>26</v>
      </c>
    </row>
    <row r="49" spans="1:18" x14ac:dyDescent="0.25">
      <c r="A49" s="3">
        <v>48</v>
      </c>
      <c r="B49" s="4">
        <v>200</v>
      </c>
      <c r="C49" s="4" t="s">
        <v>183</v>
      </c>
      <c r="D49" s="4" t="s">
        <v>184</v>
      </c>
      <c r="E49" s="4" t="s">
        <v>218</v>
      </c>
      <c r="F49" s="4"/>
      <c r="G49" s="4" t="s">
        <v>219</v>
      </c>
      <c r="H49" s="4" t="s">
        <v>266</v>
      </c>
      <c r="I49" s="4" t="s">
        <v>20</v>
      </c>
      <c r="J49" s="4" t="s">
        <v>21</v>
      </c>
      <c r="K49" s="4" t="s">
        <v>157</v>
      </c>
      <c r="L49" s="4" t="s">
        <v>23</v>
      </c>
      <c r="M49" s="4" t="s">
        <v>24</v>
      </c>
      <c r="N49" s="4"/>
      <c r="O49" s="4" t="s">
        <v>30</v>
      </c>
      <c r="P49" s="4" t="s">
        <v>26</v>
      </c>
      <c r="Q49" s="4" t="s">
        <v>26</v>
      </c>
      <c r="R49" s="4" t="s">
        <v>26</v>
      </c>
    </row>
    <row r="50" spans="1:18" x14ac:dyDescent="0.25">
      <c r="A50" s="3">
        <v>49</v>
      </c>
      <c r="B50" s="4">
        <v>200</v>
      </c>
      <c r="C50" s="4" t="s">
        <v>183</v>
      </c>
      <c r="D50" s="4" t="s">
        <v>184</v>
      </c>
      <c r="E50" s="4" t="s">
        <v>220</v>
      </c>
      <c r="F50" s="4" t="s">
        <v>221</v>
      </c>
      <c r="G50" s="4" t="s">
        <v>222</v>
      </c>
      <c r="H50" s="4" t="s">
        <v>267</v>
      </c>
      <c r="I50" s="4" t="s">
        <v>214</v>
      </c>
      <c r="J50" s="4" t="s">
        <v>214</v>
      </c>
      <c r="K50" s="4" t="s">
        <v>213</v>
      </c>
      <c r="L50" s="4" t="s">
        <v>43</v>
      </c>
      <c r="M50" s="4" t="s">
        <v>49</v>
      </c>
      <c r="N50" s="4"/>
      <c r="O50" s="4" t="s">
        <v>50</v>
      </c>
      <c r="P50" s="4" t="s">
        <v>26</v>
      </c>
      <c r="Q50" s="4" t="s">
        <v>26</v>
      </c>
      <c r="R50" s="4" t="s">
        <v>26</v>
      </c>
    </row>
    <row r="51" spans="1:18" x14ac:dyDescent="0.25">
      <c r="A51" s="5">
        <v>50</v>
      </c>
      <c r="B51" s="6">
        <v>200</v>
      </c>
      <c r="C51" s="6" t="s">
        <v>183</v>
      </c>
      <c r="D51" s="6" t="s">
        <v>170</v>
      </c>
      <c r="E51" s="6" t="s">
        <v>228</v>
      </c>
      <c r="F51" s="6" t="s">
        <v>230</v>
      </c>
      <c r="G51" s="6" t="s">
        <v>229</v>
      </c>
      <c r="H51" s="4" t="s">
        <v>268</v>
      </c>
      <c r="I51" s="6" t="s">
        <v>20</v>
      </c>
      <c r="J51" s="6" t="s">
        <v>21</v>
      </c>
      <c r="K51" s="6" t="s">
        <v>165</v>
      </c>
      <c r="L51" s="6" t="s">
        <v>23</v>
      </c>
      <c r="M51" s="6" t="s">
        <v>24</v>
      </c>
      <c r="N51" s="6"/>
      <c r="O51" s="6" t="s">
        <v>30</v>
      </c>
      <c r="P51" s="6" t="s">
        <v>26</v>
      </c>
      <c r="Q51" s="6" t="s">
        <v>26</v>
      </c>
      <c r="R51" s="6" t="s">
        <v>26</v>
      </c>
    </row>
    <row r="52" spans="1:18" s="4" customFormat="1" x14ac:dyDescent="0.25">
      <c r="A52" s="3">
        <v>51</v>
      </c>
      <c r="B52" s="4">
        <v>200</v>
      </c>
      <c r="C52" s="4" t="s">
        <v>183</v>
      </c>
      <c r="D52" s="4" t="s">
        <v>184</v>
      </c>
      <c r="E52" s="4" t="s">
        <v>201</v>
      </c>
      <c r="F52" s="4" t="s">
        <v>202</v>
      </c>
      <c r="G52" s="4" t="s">
        <v>196</v>
      </c>
      <c r="H52" s="4" t="s">
        <v>269</v>
      </c>
      <c r="I52" s="4" t="s">
        <v>40</v>
      </c>
      <c r="J52" s="4" t="s">
        <v>280</v>
      </c>
      <c r="K52" s="4" t="s">
        <v>197</v>
      </c>
      <c r="L52" s="4" t="s">
        <v>303</v>
      </c>
      <c r="M52" s="4" t="s">
        <v>278</v>
      </c>
      <c r="O52" s="4" t="s">
        <v>129</v>
      </c>
      <c r="P52" s="4" t="s">
        <v>26</v>
      </c>
      <c r="Q52" s="4" t="s">
        <v>26</v>
      </c>
      <c r="R52" s="4" t="s">
        <v>26</v>
      </c>
    </row>
    <row r="53" spans="1:18" x14ac:dyDescent="0.25">
      <c r="A53" s="8">
        <v>52</v>
      </c>
      <c r="B53">
        <v>200</v>
      </c>
      <c r="C53" s="7" t="s">
        <v>270</v>
      </c>
      <c r="D53" s="7" t="s">
        <v>270</v>
      </c>
      <c r="G53" s="7"/>
      <c r="I53" s="7" t="s">
        <v>20</v>
      </c>
    </row>
  </sheetData>
  <autoFilter ref="A1:R5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CABF-63E6-4387-9864-0FD065910416}">
  <dimension ref="A1:W53"/>
  <sheetViews>
    <sheetView zoomScale="70" zoomScaleNormal="70" workbookViewId="0">
      <selection activeCell="E52" sqref="E52"/>
    </sheetView>
  </sheetViews>
  <sheetFormatPr baseColWidth="10" defaultRowHeight="15" x14ac:dyDescent="0.25"/>
  <cols>
    <col min="3" max="3" width="13.5703125" bestFit="1" customWidth="1"/>
    <col min="4" max="4" width="15" bestFit="1" customWidth="1"/>
    <col min="5" max="5" width="23.7109375" bestFit="1" customWidth="1"/>
    <col min="7" max="7" width="18.85546875" bestFit="1" customWidth="1"/>
    <col min="10" max="10" width="26.7109375" bestFit="1" customWidth="1"/>
    <col min="11" max="11" width="26.7109375" customWidth="1"/>
    <col min="12" max="13" width="9.5703125" customWidth="1"/>
    <col min="14" max="14" width="24.5703125" customWidth="1"/>
    <col min="15" max="15" width="33.7109375" bestFit="1" customWidth="1"/>
    <col min="16" max="16" width="33.7109375" customWidth="1"/>
    <col min="17" max="17" width="39.7109375" bestFit="1" customWidth="1"/>
    <col min="18" max="18" width="20.28515625" customWidth="1"/>
    <col min="19" max="19" width="29" customWidth="1"/>
    <col min="20" max="20" width="17.140625" bestFit="1" customWidth="1"/>
    <col min="21" max="21" width="30.140625" bestFit="1" customWidth="1"/>
    <col min="22" max="22" width="23.5703125" customWidth="1"/>
    <col min="23" max="23" width="16.28515625" bestFit="1" customWidth="1"/>
  </cols>
  <sheetData>
    <row r="1" spans="1:23" s="1" customFormat="1" ht="15.75" x14ac:dyDescent="0.25">
      <c r="A1" s="2" t="s">
        <v>0</v>
      </c>
      <c r="B1" s="2" t="s">
        <v>8</v>
      </c>
      <c r="C1" s="2" t="s">
        <v>1</v>
      </c>
      <c r="D1" s="2" t="s">
        <v>2</v>
      </c>
      <c r="E1" s="2" t="s">
        <v>4</v>
      </c>
      <c r="F1" s="2" t="s">
        <v>3</v>
      </c>
      <c r="G1" s="2" t="s">
        <v>5</v>
      </c>
      <c r="H1" s="2" t="s">
        <v>7</v>
      </c>
      <c r="I1" s="2" t="s">
        <v>19</v>
      </c>
      <c r="J1" s="2" t="s">
        <v>6</v>
      </c>
      <c r="K1" s="2" t="s">
        <v>330</v>
      </c>
      <c r="L1" s="2" t="s">
        <v>9</v>
      </c>
      <c r="M1" s="2" t="s">
        <v>574</v>
      </c>
      <c r="N1" s="2" t="s">
        <v>568</v>
      </c>
      <c r="O1" s="2" t="s">
        <v>10</v>
      </c>
      <c r="P1" s="2" t="s">
        <v>11</v>
      </c>
      <c r="Q1" s="2" t="s">
        <v>575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27</v>
      </c>
      <c r="W1" s="1" t="s">
        <v>484</v>
      </c>
    </row>
    <row r="2" spans="1:23" ht="13.9" customHeight="1" x14ac:dyDescent="0.25">
      <c r="A2" s="3">
        <v>22</v>
      </c>
      <c r="B2" s="4">
        <v>200</v>
      </c>
      <c r="C2" s="4" t="s">
        <v>114</v>
      </c>
      <c r="D2" s="4" t="s">
        <v>114</v>
      </c>
      <c r="E2" s="4" t="s">
        <v>300</v>
      </c>
      <c r="F2" s="4" t="s">
        <v>118</v>
      </c>
      <c r="G2" s="4" t="s">
        <v>226</v>
      </c>
      <c r="H2" s="4" t="s">
        <v>241</v>
      </c>
      <c r="I2" s="4" t="s">
        <v>40</v>
      </c>
      <c r="J2" s="4" t="s">
        <v>299</v>
      </c>
      <c r="K2" s="4" t="s">
        <v>331</v>
      </c>
      <c r="L2" s="4" t="s">
        <v>569</v>
      </c>
      <c r="M2" s="4">
        <v>10</v>
      </c>
      <c r="N2" s="4" t="s">
        <v>227</v>
      </c>
      <c r="O2" s="4" t="s">
        <v>285</v>
      </c>
      <c r="P2" s="4" t="s">
        <v>576</v>
      </c>
      <c r="Q2" s="4" t="s">
        <v>274</v>
      </c>
      <c r="R2" s="4"/>
      <c r="S2" s="4" t="s">
        <v>44</v>
      </c>
      <c r="T2" s="4" t="s">
        <v>26</v>
      </c>
      <c r="U2" s="4" t="s">
        <v>26</v>
      </c>
      <c r="V2" s="4" t="s">
        <v>332</v>
      </c>
    </row>
    <row r="3" spans="1:23" x14ac:dyDescent="0.25">
      <c r="A3" s="3">
        <v>24</v>
      </c>
      <c r="B3" s="4">
        <v>200</v>
      </c>
      <c r="C3" s="4" t="s">
        <v>113</v>
      </c>
      <c r="D3" s="4" t="s">
        <v>114</v>
      </c>
      <c r="E3" s="4" t="s">
        <v>119</v>
      </c>
      <c r="F3" s="4" t="s">
        <v>120</v>
      </c>
      <c r="G3" s="4" t="s">
        <v>181</v>
      </c>
      <c r="H3" s="4" t="s">
        <v>243</v>
      </c>
      <c r="I3" s="4" t="s">
        <v>40</v>
      </c>
      <c r="J3" s="4" t="s">
        <v>275</v>
      </c>
      <c r="K3" s="4" t="s">
        <v>275</v>
      </c>
      <c r="L3" s="4" t="s">
        <v>570</v>
      </c>
      <c r="M3" s="4">
        <v>12</v>
      </c>
      <c r="N3" s="4" t="s">
        <v>182</v>
      </c>
      <c r="O3" s="9" t="s">
        <v>276</v>
      </c>
      <c r="P3" s="9" t="s">
        <v>577</v>
      </c>
      <c r="Q3" s="9" t="s">
        <v>277</v>
      </c>
      <c r="R3" s="4"/>
      <c r="S3" s="4" t="s">
        <v>94</v>
      </c>
      <c r="T3" s="4" t="s">
        <v>26</v>
      </c>
      <c r="U3" s="4" t="s">
        <v>26</v>
      </c>
      <c r="V3" s="4" t="s">
        <v>368</v>
      </c>
    </row>
    <row r="4" spans="1:23" x14ac:dyDescent="0.25">
      <c r="A4" s="3"/>
      <c r="B4" s="4">
        <v>177</v>
      </c>
      <c r="C4" s="4" t="s">
        <v>183</v>
      </c>
      <c r="D4" s="4" t="s">
        <v>184</v>
      </c>
      <c r="E4" s="4" t="s">
        <v>201</v>
      </c>
      <c r="F4" s="4" t="s">
        <v>202</v>
      </c>
      <c r="G4" s="4" t="s">
        <v>323</v>
      </c>
      <c r="H4" s="4"/>
      <c r="I4" s="4" t="s">
        <v>40</v>
      </c>
      <c r="J4" s="4" t="s">
        <v>280</v>
      </c>
      <c r="K4" s="4" t="s">
        <v>280</v>
      </c>
      <c r="L4" s="4" t="s">
        <v>569</v>
      </c>
      <c r="M4" s="4">
        <v>8</v>
      </c>
      <c r="N4" s="4" t="s">
        <v>364</v>
      </c>
      <c r="O4" s="4" t="s">
        <v>365</v>
      </c>
      <c r="P4" s="4"/>
      <c r="Q4" s="4" t="s">
        <v>278</v>
      </c>
      <c r="R4" s="4" t="s">
        <v>366</v>
      </c>
      <c r="S4" s="4" t="s">
        <v>44</v>
      </c>
      <c r="T4" s="4" t="s">
        <v>26</v>
      </c>
      <c r="U4" s="4" t="s">
        <v>294</v>
      </c>
      <c r="V4" s="4" t="s">
        <v>367</v>
      </c>
    </row>
    <row r="5" spans="1:23" x14ac:dyDescent="0.25">
      <c r="A5" s="3"/>
      <c r="B5" s="4">
        <v>177</v>
      </c>
      <c r="C5" s="4" t="s">
        <v>183</v>
      </c>
      <c r="D5" s="4" t="s">
        <v>184</v>
      </c>
      <c r="E5" s="4" t="s">
        <v>326</v>
      </c>
      <c r="F5" s="4" t="s">
        <v>325</v>
      </c>
      <c r="G5" s="4" t="s">
        <v>324</v>
      </c>
      <c r="H5" s="4"/>
      <c r="I5" s="4" t="s">
        <v>40</v>
      </c>
      <c r="J5" s="4" t="s">
        <v>298</v>
      </c>
      <c r="K5" s="4" t="s">
        <v>355</v>
      </c>
      <c r="L5" s="4" t="s">
        <v>570</v>
      </c>
      <c r="M5" s="4">
        <v>12</v>
      </c>
      <c r="N5" s="4" t="s">
        <v>369</v>
      </c>
      <c r="O5" s="4" t="s">
        <v>292</v>
      </c>
      <c r="P5" s="4"/>
      <c r="Q5" s="4" t="s">
        <v>370</v>
      </c>
      <c r="R5" s="4" t="s">
        <v>366</v>
      </c>
      <c r="S5" s="4" t="s">
        <v>44</v>
      </c>
      <c r="T5" s="4" t="s">
        <v>26</v>
      </c>
      <c r="U5" s="4" t="s">
        <v>294</v>
      </c>
      <c r="V5" s="4" t="s">
        <v>26</v>
      </c>
    </row>
    <row r="6" spans="1:23" x14ac:dyDescent="0.25">
      <c r="A6" s="3">
        <v>5</v>
      </c>
      <c r="B6" s="4">
        <v>177</v>
      </c>
      <c r="C6" s="4" t="s">
        <v>73</v>
      </c>
      <c r="D6" s="4" t="s">
        <v>73</v>
      </c>
      <c r="E6" s="4" t="s">
        <v>74</v>
      </c>
      <c r="F6" s="4" t="s">
        <v>75</v>
      </c>
      <c r="G6" s="4" t="s">
        <v>76</v>
      </c>
      <c r="H6" s="4"/>
      <c r="I6" s="4" t="s">
        <v>40</v>
      </c>
      <c r="J6" s="4" t="s">
        <v>282</v>
      </c>
      <c r="K6" s="4" t="s">
        <v>282</v>
      </c>
      <c r="L6" s="4" t="s">
        <v>571</v>
      </c>
      <c r="M6" s="4">
        <v>10</v>
      </c>
      <c r="N6" s="4" t="s">
        <v>77</v>
      </c>
      <c r="O6" s="4" t="s">
        <v>283</v>
      </c>
      <c r="P6" s="4"/>
      <c r="Q6" s="4" t="s">
        <v>371</v>
      </c>
      <c r="R6" s="4" t="s">
        <v>366</v>
      </c>
      <c r="S6" s="4" t="s">
        <v>44</v>
      </c>
      <c r="T6" s="4" t="s">
        <v>26</v>
      </c>
      <c r="U6" s="4" t="s">
        <v>294</v>
      </c>
      <c r="V6" s="4" t="s">
        <v>26</v>
      </c>
    </row>
    <row r="7" spans="1:23" x14ac:dyDescent="0.25">
      <c r="A7" s="3">
        <v>5</v>
      </c>
      <c r="B7" s="4">
        <v>177</v>
      </c>
      <c r="C7" s="4" t="s">
        <v>113</v>
      </c>
      <c r="D7" s="4" t="s">
        <v>295</v>
      </c>
      <c r="E7" s="4" t="s">
        <v>297</v>
      </c>
      <c r="F7" s="4" t="s">
        <v>296</v>
      </c>
      <c r="G7" s="4" t="s">
        <v>39</v>
      </c>
      <c r="H7" s="4"/>
      <c r="I7" s="4" t="s">
        <v>40</v>
      </c>
      <c r="J7" s="4" t="s">
        <v>298</v>
      </c>
      <c r="K7" s="4" t="s">
        <v>298</v>
      </c>
      <c r="L7" s="4" t="s">
        <v>569</v>
      </c>
      <c r="M7" s="4">
        <v>12</v>
      </c>
      <c r="N7" s="4" t="s">
        <v>42</v>
      </c>
      <c r="O7" s="4" t="s">
        <v>372</v>
      </c>
      <c r="P7" s="4"/>
      <c r="Q7" s="4" t="s">
        <v>286</v>
      </c>
      <c r="R7" s="4" t="s">
        <v>366</v>
      </c>
      <c r="S7" s="4" t="s">
        <v>44</v>
      </c>
      <c r="T7" s="4" t="s">
        <v>26</v>
      </c>
      <c r="U7" s="4" t="s">
        <v>294</v>
      </c>
      <c r="V7" s="4" t="s">
        <v>26</v>
      </c>
    </row>
    <row r="8" spans="1:23" x14ac:dyDescent="0.25">
      <c r="A8" s="3">
        <v>8</v>
      </c>
      <c r="B8" s="4">
        <v>177</v>
      </c>
      <c r="C8" s="4" t="s">
        <v>113</v>
      </c>
      <c r="D8" s="4" t="s">
        <v>302</v>
      </c>
      <c r="E8" s="4"/>
      <c r="F8" s="4"/>
      <c r="G8" s="4" t="s">
        <v>224</v>
      </c>
      <c r="H8" s="4"/>
      <c r="I8" s="4" t="s">
        <v>40</v>
      </c>
      <c r="J8" s="4" t="s">
        <v>287</v>
      </c>
      <c r="K8" s="4" t="s">
        <v>287</v>
      </c>
      <c r="L8" s="4" t="s">
        <v>570</v>
      </c>
      <c r="M8" s="4">
        <v>7</v>
      </c>
      <c r="N8" s="4" t="s">
        <v>225</v>
      </c>
      <c r="O8" s="9" t="s">
        <v>288</v>
      </c>
      <c r="P8" s="9"/>
      <c r="Q8" s="9" t="s">
        <v>289</v>
      </c>
      <c r="R8" s="4" t="s">
        <v>366</v>
      </c>
      <c r="S8" s="4" t="s">
        <v>44</v>
      </c>
      <c r="T8" s="4" t="s">
        <v>26</v>
      </c>
      <c r="U8" s="4" t="s">
        <v>26</v>
      </c>
      <c r="V8" s="4" t="s">
        <v>26</v>
      </c>
    </row>
    <row r="9" spans="1:23" x14ac:dyDescent="0.25">
      <c r="A9" s="3">
        <v>36</v>
      </c>
      <c r="B9" s="4">
        <v>200</v>
      </c>
      <c r="C9" s="4" t="s">
        <v>167</v>
      </c>
      <c r="D9" s="4" t="s">
        <v>167</v>
      </c>
      <c r="E9" s="4" t="s">
        <v>301</v>
      </c>
      <c r="F9" s="4" t="s">
        <v>290</v>
      </c>
      <c r="G9" s="4" t="s">
        <v>171</v>
      </c>
      <c r="H9" s="4" t="s">
        <v>254</v>
      </c>
      <c r="I9" s="4" t="s">
        <v>40</v>
      </c>
      <c r="J9" s="4" t="s">
        <v>291</v>
      </c>
      <c r="K9" s="4" t="s">
        <v>291</v>
      </c>
      <c r="L9" s="4" t="s">
        <v>570</v>
      </c>
      <c r="M9" s="4">
        <v>12</v>
      </c>
      <c r="N9" s="4" t="s">
        <v>172</v>
      </c>
      <c r="O9" s="9" t="s">
        <v>292</v>
      </c>
      <c r="P9" s="9"/>
      <c r="Q9" s="9" t="s">
        <v>293</v>
      </c>
      <c r="R9" s="4" t="s">
        <v>366</v>
      </c>
      <c r="S9" s="4" t="s">
        <v>44</v>
      </c>
      <c r="T9" s="4" t="s">
        <v>26</v>
      </c>
      <c r="U9" s="4" t="s">
        <v>26</v>
      </c>
      <c r="V9" s="4" t="s">
        <v>26</v>
      </c>
    </row>
    <row r="10" spans="1:23" ht="15.6" customHeight="1" x14ac:dyDescent="0.25">
      <c r="A10" s="3">
        <v>26</v>
      </c>
      <c r="B10" s="4">
        <v>200</v>
      </c>
      <c r="C10" s="4" t="s">
        <v>113</v>
      </c>
      <c r="D10" s="4" t="s">
        <v>124</v>
      </c>
      <c r="E10" s="4" t="s">
        <v>125</v>
      </c>
      <c r="F10" s="4" t="s">
        <v>126</v>
      </c>
      <c r="G10" s="4" t="s">
        <v>127</v>
      </c>
      <c r="H10" s="4" t="s">
        <v>245</v>
      </c>
      <c r="I10" s="4" t="s">
        <v>40</v>
      </c>
      <c r="J10" s="4" t="s">
        <v>373</v>
      </c>
      <c r="K10" s="4" t="s">
        <v>373</v>
      </c>
      <c r="L10" s="4" t="s">
        <v>571</v>
      </c>
      <c r="M10" s="4">
        <v>2</v>
      </c>
      <c r="N10" s="4" t="s">
        <v>128</v>
      </c>
      <c r="O10" s="4" t="s">
        <v>374</v>
      </c>
      <c r="P10" s="4"/>
      <c r="Q10" s="4" t="s">
        <v>375</v>
      </c>
      <c r="R10" s="4" t="s">
        <v>366</v>
      </c>
      <c r="S10" s="4" t="s">
        <v>129</v>
      </c>
      <c r="T10" s="4" t="s">
        <v>26</v>
      </c>
      <c r="U10" s="4" t="s">
        <v>26</v>
      </c>
      <c r="V10" s="4" t="s">
        <v>26</v>
      </c>
    </row>
    <row r="11" spans="1:23" s="4" customFormat="1" x14ac:dyDescent="0.25">
      <c r="A11" s="3">
        <v>51</v>
      </c>
      <c r="B11" s="4">
        <v>200</v>
      </c>
      <c r="C11" s="4" t="s">
        <v>183</v>
      </c>
      <c r="D11" s="4" t="s">
        <v>184</v>
      </c>
      <c r="E11" s="4" t="s">
        <v>201</v>
      </c>
      <c r="F11" s="4" t="s">
        <v>202</v>
      </c>
      <c r="G11" s="4" t="s">
        <v>196</v>
      </c>
      <c r="H11" s="4" t="s">
        <v>269</v>
      </c>
      <c r="I11" s="4" t="s">
        <v>40</v>
      </c>
      <c r="J11" s="4" t="s">
        <v>280</v>
      </c>
      <c r="K11" s="4" t="s">
        <v>280</v>
      </c>
      <c r="L11" s="4" t="s">
        <v>569</v>
      </c>
      <c r="M11" s="4">
        <v>8</v>
      </c>
      <c r="N11" s="4" t="s">
        <v>197</v>
      </c>
      <c r="O11" s="4" t="s">
        <v>303</v>
      </c>
      <c r="Q11" s="4" t="s">
        <v>278</v>
      </c>
      <c r="R11" s="4" t="s">
        <v>366</v>
      </c>
      <c r="S11" s="4" t="s">
        <v>129</v>
      </c>
      <c r="T11" s="4" t="s">
        <v>26</v>
      </c>
      <c r="U11" s="4" t="s">
        <v>26</v>
      </c>
      <c r="V11" s="4" t="s">
        <v>26</v>
      </c>
    </row>
    <row r="12" spans="1:23" x14ac:dyDescent="0.25">
      <c r="A12" s="3">
        <v>35</v>
      </c>
      <c r="B12" s="4">
        <v>200</v>
      </c>
      <c r="C12" s="4" t="s">
        <v>153</v>
      </c>
      <c r="D12" s="4" t="s">
        <v>153</v>
      </c>
      <c r="E12" s="4" t="s">
        <v>328</v>
      </c>
      <c r="F12" s="4" t="s">
        <v>327</v>
      </c>
      <c r="G12" s="4" t="s">
        <v>161</v>
      </c>
      <c r="H12" s="4" t="s">
        <v>253</v>
      </c>
      <c r="I12" s="4" t="s">
        <v>40</v>
      </c>
      <c r="J12" s="4" t="s">
        <v>329</v>
      </c>
      <c r="K12" s="6" t="s">
        <v>329</v>
      </c>
      <c r="L12" s="6" t="s">
        <v>570</v>
      </c>
      <c r="M12" s="6">
        <v>13</v>
      </c>
      <c r="N12" s="6" t="s">
        <v>92</v>
      </c>
      <c r="O12" s="4" t="s">
        <v>376</v>
      </c>
      <c r="P12" s="4"/>
      <c r="Q12" s="4" t="s">
        <v>370</v>
      </c>
      <c r="R12" s="4" t="s">
        <v>366</v>
      </c>
      <c r="S12" s="4" t="s">
        <v>44</v>
      </c>
      <c r="T12" s="4" t="s">
        <v>26</v>
      </c>
      <c r="U12" s="4" t="s">
        <v>26</v>
      </c>
      <c r="V12" s="4" t="s">
        <v>162</v>
      </c>
    </row>
    <row r="13" spans="1:23" x14ac:dyDescent="0.25">
      <c r="A13" s="3">
        <v>25</v>
      </c>
      <c r="B13" s="4">
        <v>200</v>
      </c>
      <c r="C13" s="4" t="s">
        <v>113</v>
      </c>
      <c r="D13" s="4" t="s">
        <v>114</v>
      </c>
      <c r="E13" s="4" t="s">
        <v>525</v>
      </c>
      <c r="F13" s="4" t="s">
        <v>557</v>
      </c>
      <c r="G13" s="4" t="s">
        <v>123</v>
      </c>
      <c r="H13" s="4" t="s">
        <v>244</v>
      </c>
      <c r="I13" s="4" t="s">
        <v>20</v>
      </c>
      <c r="J13" s="18" t="s">
        <v>21</v>
      </c>
      <c r="K13" s="24" t="s">
        <v>333</v>
      </c>
      <c r="L13" s="24" t="s">
        <v>571</v>
      </c>
      <c r="M13" s="24">
        <v>7</v>
      </c>
      <c r="N13" s="25" t="s">
        <v>213</v>
      </c>
      <c r="O13" s="21" t="s">
        <v>387</v>
      </c>
      <c r="P13" s="21"/>
      <c r="Q13" s="4" t="s">
        <v>436</v>
      </c>
      <c r="R13" s="4"/>
      <c r="S13" s="4" t="s">
        <v>460</v>
      </c>
      <c r="T13" s="4" t="s">
        <v>26</v>
      </c>
      <c r="U13" s="4" t="s">
        <v>26</v>
      </c>
      <c r="V13" s="4" t="s">
        <v>464</v>
      </c>
      <c r="W13" t="s">
        <v>514</v>
      </c>
    </row>
    <row r="14" spans="1:23" x14ac:dyDescent="0.25">
      <c r="A14" s="3">
        <v>31</v>
      </c>
      <c r="B14" s="4">
        <v>200</v>
      </c>
      <c r="C14" s="4" t="s">
        <v>130</v>
      </c>
      <c r="D14" s="4" t="s">
        <v>138</v>
      </c>
      <c r="E14" s="4" t="s">
        <v>526</v>
      </c>
      <c r="F14" s="4" t="s">
        <v>146</v>
      </c>
      <c r="G14" s="4" t="s">
        <v>147</v>
      </c>
      <c r="H14" s="4" t="s">
        <v>250</v>
      </c>
      <c r="I14" s="4" t="s">
        <v>20</v>
      </c>
      <c r="J14" s="18" t="s">
        <v>21</v>
      </c>
      <c r="K14" s="25" t="s">
        <v>334</v>
      </c>
      <c r="L14" s="25" t="s">
        <v>570</v>
      </c>
      <c r="M14" s="25">
        <v>4</v>
      </c>
      <c r="N14" s="24" t="s">
        <v>378</v>
      </c>
      <c r="O14" s="21" t="s">
        <v>388</v>
      </c>
      <c r="P14" s="21"/>
      <c r="Q14" s="4" t="s">
        <v>437</v>
      </c>
      <c r="R14" s="4"/>
      <c r="S14" s="4" t="s">
        <v>461</v>
      </c>
      <c r="T14" s="4" t="s">
        <v>26</v>
      </c>
      <c r="U14" s="4" t="s">
        <v>26</v>
      </c>
      <c r="V14" s="4" t="s">
        <v>465</v>
      </c>
      <c r="W14" t="s">
        <v>515</v>
      </c>
    </row>
    <row r="15" spans="1:23" x14ac:dyDescent="0.25">
      <c r="A15" s="3"/>
      <c r="B15" s="4">
        <v>200</v>
      </c>
      <c r="C15" s="4" t="s">
        <v>183</v>
      </c>
      <c r="D15" s="4" t="s">
        <v>184</v>
      </c>
      <c r="E15" s="4" t="s">
        <v>309</v>
      </c>
      <c r="F15" s="4" t="s">
        <v>310</v>
      </c>
      <c r="G15" s="4" t="s">
        <v>308</v>
      </c>
      <c r="H15" s="4"/>
      <c r="I15" s="4" t="s">
        <v>20</v>
      </c>
      <c r="J15" s="18" t="s">
        <v>21</v>
      </c>
      <c r="K15" s="24" t="s">
        <v>335</v>
      </c>
      <c r="L15" s="24" t="s">
        <v>571</v>
      </c>
      <c r="M15" s="24">
        <v>7</v>
      </c>
      <c r="N15" s="25" t="s">
        <v>134</v>
      </c>
      <c r="O15" s="21" t="s">
        <v>389</v>
      </c>
      <c r="P15" s="21"/>
      <c r="Q15" s="4" t="s">
        <v>419</v>
      </c>
      <c r="R15" s="4"/>
      <c r="S15" s="4" t="s">
        <v>462</v>
      </c>
      <c r="T15" s="4" t="s">
        <v>26</v>
      </c>
      <c r="U15" s="4" t="s">
        <v>26</v>
      </c>
      <c r="V15" s="4" t="s">
        <v>466</v>
      </c>
      <c r="W15" t="s">
        <v>516</v>
      </c>
    </row>
    <row r="16" spans="1:23" x14ac:dyDescent="0.25">
      <c r="A16" s="3">
        <v>27</v>
      </c>
      <c r="B16" s="4">
        <v>200</v>
      </c>
      <c r="C16" s="4" t="s">
        <v>130</v>
      </c>
      <c r="D16" s="4" t="s">
        <v>131</v>
      </c>
      <c r="E16" s="4" t="s">
        <v>527</v>
      </c>
      <c r="F16" s="4" t="s">
        <v>133</v>
      </c>
      <c r="G16" s="4" t="s">
        <v>109</v>
      </c>
      <c r="H16" s="4" t="s">
        <v>246</v>
      </c>
      <c r="I16" s="4" t="s">
        <v>20</v>
      </c>
      <c r="J16" s="18" t="s">
        <v>21</v>
      </c>
      <c r="K16" s="25" t="s">
        <v>336</v>
      </c>
      <c r="L16" s="25" t="s">
        <v>571</v>
      </c>
      <c r="M16" s="25">
        <v>7</v>
      </c>
      <c r="N16" s="24" t="s">
        <v>213</v>
      </c>
      <c r="O16" s="21" t="s">
        <v>390</v>
      </c>
      <c r="P16" s="21"/>
      <c r="Q16" s="4" t="s">
        <v>438</v>
      </c>
      <c r="R16" s="4"/>
      <c r="S16" s="4" t="s">
        <v>463</v>
      </c>
      <c r="T16" s="4" t="s">
        <v>26</v>
      </c>
      <c r="U16" s="4" t="s">
        <v>26</v>
      </c>
      <c r="V16" s="4" t="s">
        <v>467</v>
      </c>
      <c r="W16" t="s">
        <v>517</v>
      </c>
    </row>
    <row r="17" spans="1:23" x14ac:dyDescent="0.25">
      <c r="A17" s="3">
        <v>30</v>
      </c>
      <c r="B17" s="4">
        <v>200</v>
      </c>
      <c r="C17" s="4" t="s">
        <v>130</v>
      </c>
      <c r="D17" s="4" t="s">
        <v>138</v>
      </c>
      <c r="E17" s="4" t="s">
        <v>528</v>
      </c>
      <c r="F17" s="4" t="s">
        <v>143</v>
      </c>
      <c r="G17" s="4" t="s">
        <v>144</v>
      </c>
      <c r="H17" s="4" t="s">
        <v>249</v>
      </c>
      <c r="I17" s="4" t="s">
        <v>20</v>
      </c>
      <c r="J17" s="18" t="s">
        <v>21</v>
      </c>
      <c r="K17" s="24" t="s">
        <v>337</v>
      </c>
      <c r="L17" s="24" t="s">
        <v>569</v>
      </c>
      <c r="M17" s="24">
        <v>6</v>
      </c>
      <c r="N17" s="25" t="s">
        <v>117</v>
      </c>
      <c r="O17" s="21" t="s">
        <v>391</v>
      </c>
      <c r="P17" s="21"/>
      <c r="Q17" s="4" t="s">
        <v>278</v>
      </c>
      <c r="R17" s="4"/>
      <c r="S17" s="4" t="s">
        <v>451</v>
      </c>
      <c r="T17" s="4" t="s">
        <v>26</v>
      </c>
      <c r="U17" s="4" t="s">
        <v>26</v>
      </c>
      <c r="V17" s="4" t="s">
        <v>468</v>
      </c>
      <c r="W17" t="s">
        <v>518</v>
      </c>
    </row>
    <row r="18" spans="1:23" x14ac:dyDescent="0.25">
      <c r="A18" s="3">
        <v>29</v>
      </c>
      <c r="B18" s="4">
        <v>200</v>
      </c>
      <c r="C18" s="4" t="s">
        <v>130</v>
      </c>
      <c r="D18" s="4" t="s">
        <v>138</v>
      </c>
      <c r="E18" s="4" t="s">
        <v>529</v>
      </c>
      <c r="F18" s="4" t="s">
        <v>150</v>
      </c>
      <c r="G18" s="4" t="s">
        <v>140</v>
      </c>
      <c r="H18" s="4" t="s">
        <v>248</v>
      </c>
      <c r="I18" s="4" t="s">
        <v>20</v>
      </c>
      <c r="J18" s="18" t="s">
        <v>21</v>
      </c>
      <c r="K18" s="25" t="s">
        <v>338</v>
      </c>
      <c r="L18" s="25" t="s">
        <v>570</v>
      </c>
      <c r="M18" s="25">
        <v>11</v>
      </c>
      <c r="N18" s="24" t="s">
        <v>165</v>
      </c>
      <c r="O18" s="21" t="s">
        <v>392</v>
      </c>
      <c r="P18" s="21"/>
      <c r="Q18" s="4" t="s">
        <v>439</v>
      </c>
      <c r="R18" s="4"/>
      <c r="S18" s="4" t="s">
        <v>444</v>
      </c>
      <c r="T18" s="4" t="s">
        <v>26</v>
      </c>
      <c r="U18" s="4" t="s">
        <v>26</v>
      </c>
      <c r="V18" s="4" t="s">
        <v>469</v>
      </c>
      <c r="W18" t="s">
        <v>519</v>
      </c>
    </row>
    <row r="19" spans="1:23" ht="13.9" customHeight="1" x14ac:dyDescent="0.25">
      <c r="A19" s="3">
        <v>43</v>
      </c>
      <c r="B19" s="4">
        <v>200</v>
      </c>
      <c r="C19" s="4" t="s">
        <v>183</v>
      </c>
      <c r="D19" s="4" t="s">
        <v>184</v>
      </c>
      <c r="E19" s="4" t="s">
        <v>530</v>
      </c>
      <c r="F19" s="4" t="s">
        <v>558</v>
      </c>
      <c r="G19" s="4" t="s">
        <v>203</v>
      </c>
      <c r="H19" s="4" t="s">
        <v>261</v>
      </c>
      <c r="I19" s="4" t="s">
        <v>20</v>
      </c>
      <c r="J19" s="18" t="s">
        <v>21</v>
      </c>
      <c r="K19" s="24" t="s">
        <v>339</v>
      </c>
      <c r="L19" s="24" t="s">
        <v>570</v>
      </c>
      <c r="M19" s="24">
        <v>11</v>
      </c>
      <c r="N19" s="25" t="s">
        <v>165</v>
      </c>
      <c r="O19" s="21" t="s">
        <v>393</v>
      </c>
      <c r="P19" s="21"/>
      <c r="Q19" s="4" t="s">
        <v>278</v>
      </c>
      <c r="R19" s="4"/>
      <c r="S19" s="4" t="s">
        <v>444</v>
      </c>
      <c r="T19" s="4" t="s">
        <v>26</v>
      </c>
      <c r="U19" s="4" t="s">
        <v>26</v>
      </c>
      <c r="V19" s="4" t="s">
        <v>332</v>
      </c>
      <c r="W19" t="s">
        <v>520</v>
      </c>
    </row>
    <row r="20" spans="1:23" x14ac:dyDescent="0.25">
      <c r="A20" s="3">
        <v>47</v>
      </c>
      <c r="B20" s="4">
        <v>200</v>
      </c>
      <c r="C20" s="4" t="s">
        <v>183</v>
      </c>
      <c r="D20" s="4" t="s">
        <v>184</v>
      </c>
      <c r="E20" s="4" t="s">
        <v>279</v>
      </c>
      <c r="F20" s="4" t="s">
        <v>202</v>
      </c>
      <c r="G20" s="4" t="s">
        <v>217</v>
      </c>
      <c r="H20" s="4" t="s">
        <v>265</v>
      </c>
      <c r="I20" s="4" t="s">
        <v>20</v>
      </c>
      <c r="J20" s="18" t="s">
        <v>21</v>
      </c>
      <c r="K20" s="25" t="s">
        <v>340</v>
      </c>
      <c r="L20" s="25" t="s">
        <v>569</v>
      </c>
      <c r="M20" s="25">
        <v>10</v>
      </c>
      <c r="N20" s="24" t="s">
        <v>192</v>
      </c>
      <c r="O20" s="21" t="s">
        <v>394</v>
      </c>
      <c r="P20" s="21"/>
      <c r="Q20" s="4" t="s">
        <v>278</v>
      </c>
      <c r="R20" s="4"/>
      <c r="S20" s="4" t="s">
        <v>453</v>
      </c>
      <c r="T20" s="4" t="s">
        <v>26</v>
      </c>
      <c r="U20" s="4" t="s">
        <v>26</v>
      </c>
      <c r="V20" s="4" t="s">
        <v>470</v>
      </c>
      <c r="W20" t="s">
        <v>521</v>
      </c>
    </row>
    <row r="21" spans="1:23" x14ac:dyDescent="0.25">
      <c r="A21" s="3"/>
      <c r="B21" s="4">
        <v>200</v>
      </c>
      <c r="C21" s="4" t="s">
        <v>183</v>
      </c>
      <c r="D21" s="4" t="s">
        <v>184</v>
      </c>
      <c r="E21" s="4" t="s">
        <v>531</v>
      </c>
      <c r="F21" s="4" t="s">
        <v>216</v>
      </c>
      <c r="G21" s="4" t="s">
        <v>311</v>
      </c>
      <c r="H21" s="4"/>
      <c r="I21" s="4" t="s">
        <v>20</v>
      </c>
      <c r="J21" s="18" t="s">
        <v>21</v>
      </c>
      <c r="K21" s="24" t="s">
        <v>341</v>
      </c>
      <c r="L21" s="24" t="s">
        <v>569</v>
      </c>
      <c r="M21" s="24">
        <v>11</v>
      </c>
      <c r="N21" s="25" t="s">
        <v>379</v>
      </c>
      <c r="O21" s="21" t="s">
        <v>395</v>
      </c>
      <c r="P21" s="21"/>
      <c r="Q21" s="4" t="s">
        <v>278</v>
      </c>
      <c r="R21" s="4"/>
      <c r="S21" s="4" t="s">
        <v>443</v>
      </c>
      <c r="T21" s="4" t="s">
        <v>26</v>
      </c>
      <c r="U21" s="4" t="s">
        <v>26</v>
      </c>
      <c r="V21" s="4" t="s">
        <v>467</v>
      </c>
      <c r="W21" t="s">
        <v>522</v>
      </c>
    </row>
    <row r="22" spans="1:23" x14ac:dyDescent="0.25">
      <c r="A22" s="3">
        <v>45</v>
      </c>
      <c r="B22" s="4">
        <v>200</v>
      </c>
      <c r="C22" s="4" t="s">
        <v>183</v>
      </c>
      <c r="D22" s="4" t="s">
        <v>184</v>
      </c>
      <c r="E22" s="4" t="s">
        <v>313</v>
      </c>
      <c r="F22" s="4" t="s">
        <v>312</v>
      </c>
      <c r="G22" s="4" t="s">
        <v>209</v>
      </c>
      <c r="H22" s="4" t="s">
        <v>263</v>
      </c>
      <c r="I22" s="4" t="s">
        <v>20</v>
      </c>
      <c r="J22" s="18" t="s">
        <v>21</v>
      </c>
      <c r="K22" s="25" t="s">
        <v>342</v>
      </c>
      <c r="L22" s="25" t="s">
        <v>572</v>
      </c>
      <c r="M22" s="25"/>
      <c r="N22" s="24" t="s">
        <v>380</v>
      </c>
      <c r="O22" s="21" t="s">
        <v>396</v>
      </c>
      <c r="P22" s="21"/>
      <c r="Q22" s="4" t="s">
        <v>440</v>
      </c>
      <c r="R22" s="4"/>
      <c r="S22" s="4" t="s">
        <v>453</v>
      </c>
      <c r="T22" s="4" t="s">
        <v>26</v>
      </c>
      <c r="U22" s="4" t="s">
        <v>26</v>
      </c>
      <c r="V22" s="4" t="s">
        <v>332</v>
      </c>
      <c r="W22" t="s">
        <v>523</v>
      </c>
    </row>
    <row r="23" spans="1:23" x14ac:dyDescent="0.25">
      <c r="A23" s="3">
        <v>49</v>
      </c>
      <c r="B23" s="4">
        <v>200</v>
      </c>
      <c r="C23" s="4" t="s">
        <v>183</v>
      </c>
      <c r="D23" s="4" t="s">
        <v>184</v>
      </c>
      <c r="E23" s="4" t="s">
        <v>532</v>
      </c>
      <c r="F23" s="4" t="s">
        <v>208</v>
      </c>
      <c r="G23" s="4" t="s">
        <v>222</v>
      </c>
      <c r="H23" s="4" t="s">
        <v>267</v>
      </c>
      <c r="I23" s="4" t="s">
        <v>214</v>
      </c>
      <c r="J23" s="18" t="s">
        <v>214</v>
      </c>
      <c r="K23" s="24" t="s">
        <v>343</v>
      </c>
      <c r="L23" s="24" t="s">
        <v>571</v>
      </c>
      <c r="M23" s="24">
        <v>4</v>
      </c>
      <c r="N23" s="25" t="s">
        <v>106</v>
      </c>
      <c r="O23" s="21" t="s">
        <v>397</v>
      </c>
      <c r="P23" s="21"/>
      <c r="Q23" s="4" t="s">
        <v>278</v>
      </c>
      <c r="R23" s="4"/>
      <c r="S23" s="4" t="s">
        <v>443</v>
      </c>
      <c r="T23" s="4" t="s">
        <v>26</v>
      </c>
      <c r="U23" s="4" t="s">
        <v>26</v>
      </c>
      <c r="V23" s="4" t="s">
        <v>332</v>
      </c>
      <c r="W23" t="s">
        <v>524</v>
      </c>
    </row>
    <row r="24" spans="1:23" x14ac:dyDescent="0.25">
      <c r="A24" s="3"/>
      <c r="B24" s="4">
        <v>200</v>
      </c>
      <c r="C24" s="4" t="s">
        <v>183</v>
      </c>
      <c r="D24" s="4" t="s">
        <v>184</v>
      </c>
      <c r="E24" s="4" t="s">
        <v>533</v>
      </c>
      <c r="F24" s="4" t="s">
        <v>221</v>
      </c>
      <c r="G24" s="4" t="s">
        <v>314</v>
      </c>
      <c r="H24" s="4" t="s">
        <v>267</v>
      </c>
      <c r="I24" s="4" t="s">
        <v>214</v>
      </c>
      <c r="J24" s="18" t="s">
        <v>214</v>
      </c>
      <c r="K24" s="25" t="s">
        <v>344</v>
      </c>
      <c r="L24" s="25" t="s">
        <v>572</v>
      </c>
      <c r="M24" s="25"/>
      <c r="N24" s="24" t="s">
        <v>381</v>
      </c>
      <c r="O24" s="21" t="s">
        <v>396</v>
      </c>
      <c r="P24" s="21"/>
      <c r="Q24" s="4" t="s">
        <v>278</v>
      </c>
      <c r="R24" s="4"/>
      <c r="S24" s="4" t="s">
        <v>441</v>
      </c>
      <c r="T24" s="4" t="s">
        <v>26</v>
      </c>
      <c r="U24" s="4" t="s">
        <v>26</v>
      </c>
      <c r="V24" s="4" t="s">
        <v>471</v>
      </c>
      <c r="W24" t="s">
        <v>485</v>
      </c>
    </row>
    <row r="25" spans="1:23" x14ac:dyDescent="0.25">
      <c r="A25" s="3">
        <v>44</v>
      </c>
      <c r="B25" s="4">
        <v>200</v>
      </c>
      <c r="C25" s="4" t="s">
        <v>183</v>
      </c>
      <c r="D25" s="4" t="s">
        <v>184</v>
      </c>
      <c r="E25" s="4" t="s">
        <v>316</v>
      </c>
      <c r="F25" s="4" t="s">
        <v>315</v>
      </c>
      <c r="G25" s="4" t="s">
        <v>206</v>
      </c>
      <c r="H25" s="4" t="s">
        <v>262</v>
      </c>
      <c r="I25" s="4" t="s">
        <v>20</v>
      </c>
      <c r="J25" s="18" t="s">
        <v>21</v>
      </c>
      <c r="K25" s="24" t="s">
        <v>337</v>
      </c>
      <c r="L25" s="24" t="s">
        <v>569</v>
      </c>
      <c r="M25" s="24">
        <v>9</v>
      </c>
      <c r="N25" s="25" t="s">
        <v>382</v>
      </c>
      <c r="O25" s="21" t="s">
        <v>398</v>
      </c>
      <c r="P25" s="21"/>
      <c r="Q25" s="4" t="s">
        <v>418</v>
      </c>
      <c r="R25" s="4"/>
      <c r="S25" s="4" t="s">
        <v>442</v>
      </c>
      <c r="T25" s="4" t="s">
        <v>26</v>
      </c>
      <c r="U25" s="4" t="s">
        <v>26</v>
      </c>
      <c r="V25" s="4" t="s">
        <v>472</v>
      </c>
      <c r="W25" t="s">
        <v>486</v>
      </c>
    </row>
    <row r="26" spans="1:23" x14ac:dyDescent="0.25">
      <c r="A26" s="3">
        <v>46</v>
      </c>
      <c r="B26" s="4">
        <v>200</v>
      </c>
      <c r="C26" s="4" t="s">
        <v>183</v>
      </c>
      <c r="D26" s="4" t="s">
        <v>184</v>
      </c>
      <c r="E26" s="4" t="s">
        <v>534</v>
      </c>
      <c r="F26" s="4" t="s">
        <v>205</v>
      </c>
      <c r="G26" s="4" t="s">
        <v>212</v>
      </c>
      <c r="H26" s="4" t="s">
        <v>264</v>
      </c>
      <c r="I26" s="4" t="s">
        <v>214</v>
      </c>
      <c r="J26" s="18" t="s">
        <v>214</v>
      </c>
      <c r="K26" s="25" t="s">
        <v>345</v>
      </c>
      <c r="L26" s="25" t="s">
        <v>570</v>
      </c>
      <c r="M26" s="25">
        <v>11</v>
      </c>
      <c r="N26" s="24" t="s">
        <v>383</v>
      </c>
      <c r="O26" s="21" t="s">
        <v>399</v>
      </c>
      <c r="P26" s="21"/>
      <c r="Q26" s="4" t="s">
        <v>419</v>
      </c>
      <c r="R26" s="4"/>
      <c r="S26" s="4" t="s">
        <v>443</v>
      </c>
      <c r="T26" s="4" t="s">
        <v>26</v>
      </c>
      <c r="U26" s="4" t="s">
        <v>26</v>
      </c>
      <c r="V26" s="4" t="s">
        <v>473</v>
      </c>
      <c r="W26" t="s">
        <v>487</v>
      </c>
    </row>
    <row r="27" spans="1:23" x14ac:dyDescent="0.25">
      <c r="A27" s="3">
        <v>41</v>
      </c>
      <c r="B27" s="4">
        <v>200</v>
      </c>
      <c r="C27" s="4" t="s">
        <v>183</v>
      </c>
      <c r="D27" s="4" t="s">
        <v>184</v>
      </c>
      <c r="E27" s="4" t="s">
        <v>535</v>
      </c>
      <c r="F27" s="4" t="s">
        <v>211</v>
      </c>
      <c r="G27" s="4" t="s">
        <v>195</v>
      </c>
      <c r="H27" s="4" t="s">
        <v>259</v>
      </c>
      <c r="I27" s="4" t="s">
        <v>20</v>
      </c>
      <c r="J27" s="18" t="s">
        <v>21</v>
      </c>
      <c r="K27" s="24" t="s">
        <v>346</v>
      </c>
      <c r="L27" s="24" t="s">
        <v>571</v>
      </c>
      <c r="M27" s="24">
        <v>4</v>
      </c>
      <c r="N27" s="25" t="s">
        <v>86</v>
      </c>
      <c r="O27" s="21" t="s">
        <v>400</v>
      </c>
      <c r="P27" s="21"/>
      <c r="Q27" s="4" t="s">
        <v>278</v>
      </c>
      <c r="R27" s="4"/>
      <c r="S27" s="4" t="s">
        <v>444</v>
      </c>
      <c r="T27" s="4" t="s">
        <v>26</v>
      </c>
      <c r="U27" s="4" t="s">
        <v>26</v>
      </c>
      <c r="V27" s="4" t="s">
        <v>474</v>
      </c>
      <c r="W27" t="s">
        <v>488</v>
      </c>
    </row>
    <row r="28" spans="1:23" x14ac:dyDescent="0.25">
      <c r="A28" s="3">
        <v>48</v>
      </c>
      <c r="B28" s="4">
        <v>200</v>
      </c>
      <c r="C28" s="4" t="s">
        <v>183</v>
      </c>
      <c r="D28" s="4" t="s">
        <v>184</v>
      </c>
      <c r="E28" s="4" t="s">
        <v>536</v>
      </c>
      <c r="F28" s="4" t="s">
        <v>194</v>
      </c>
      <c r="G28" s="4" t="s">
        <v>219</v>
      </c>
      <c r="H28" s="4" t="s">
        <v>266</v>
      </c>
      <c r="I28" s="4" t="s">
        <v>20</v>
      </c>
      <c r="J28" s="18" t="s">
        <v>21</v>
      </c>
      <c r="K28" s="25" t="s">
        <v>347</v>
      </c>
      <c r="L28" s="25" t="s">
        <v>569</v>
      </c>
      <c r="M28" s="25">
        <v>4</v>
      </c>
      <c r="N28" s="24" t="s">
        <v>384</v>
      </c>
      <c r="O28" s="21" t="s">
        <v>400</v>
      </c>
      <c r="P28" s="21"/>
      <c r="Q28" s="4" t="s">
        <v>419</v>
      </c>
      <c r="R28" s="4"/>
      <c r="S28" s="4" t="s">
        <v>445</v>
      </c>
      <c r="T28" s="4" t="s">
        <v>26</v>
      </c>
      <c r="U28" s="4" t="s">
        <v>26</v>
      </c>
      <c r="V28" s="4" t="s">
        <v>475</v>
      </c>
      <c r="W28" t="s">
        <v>489</v>
      </c>
    </row>
    <row r="29" spans="1:23" x14ac:dyDescent="0.25">
      <c r="A29" s="3">
        <v>42</v>
      </c>
      <c r="B29" s="4">
        <v>200</v>
      </c>
      <c r="C29" s="4" t="s">
        <v>183</v>
      </c>
      <c r="D29" s="4" t="s">
        <v>184</v>
      </c>
      <c r="E29" s="4" t="s">
        <v>537</v>
      </c>
      <c r="F29" s="4" t="s">
        <v>559</v>
      </c>
      <c r="G29" s="4" t="s">
        <v>200</v>
      </c>
      <c r="H29" s="4" t="s">
        <v>260</v>
      </c>
      <c r="I29" s="4" t="s">
        <v>20</v>
      </c>
      <c r="J29" s="18" t="s">
        <v>21</v>
      </c>
      <c r="K29" s="24" t="s">
        <v>348</v>
      </c>
      <c r="L29" s="24" t="s">
        <v>569</v>
      </c>
      <c r="M29" s="24">
        <v>11</v>
      </c>
      <c r="N29" s="25" t="s">
        <v>69</v>
      </c>
      <c r="O29" s="21" t="s">
        <v>401</v>
      </c>
      <c r="P29" s="21"/>
      <c r="Q29" s="4" t="s">
        <v>420</v>
      </c>
      <c r="R29" s="4"/>
      <c r="S29" s="4" t="s">
        <v>444</v>
      </c>
      <c r="T29" s="4" t="s">
        <v>26</v>
      </c>
      <c r="U29" s="4" t="s">
        <v>26</v>
      </c>
      <c r="V29" s="4" t="s">
        <v>476</v>
      </c>
      <c r="W29" t="s">
        <v>490</v>
      </c>
    </row>
    <row r="30" spans="1:23" x14ac:dyDescent="0.25">
      <c r="A30" s="3">
        <v>40</v>
      </c>
      <c r="B30" s="4">
        <v>200</v>
      </c>
      <c r="C30" s="4" t="s">
        <v>183</v>
      </c>
      <c r="D30" s="4" t="s">
        <v>184</v>
      </c>
      <c r="E30" s="4" t="s">
        <v>538</v>
      </c>
      <c r="F30" s="4" t="s">
        <v>199</v>
      </c>
      <c r="G30" s="4" t="s">
        <v>191</v>
      </c>
      <c r="H30" s="4" t="s">
        <v>258</v>
      </c>
      <c r="I30" s="4" t="s">
        <v>20</v>
      </c>
      <c r="J30" s="18" t="s">
        <v>21</v>
      </c>
      <c r="K30" s="25" t="s">
        <v>349</v>
      </c>
      <c r="L30" s="25" t="s">
        <v>569</v>
      </c>
      <c r="M30" s="25">
        <v>11</v>
      </c>
      <c r="N30" s="24" t="s">
        <v>22</v>
      </c>
      <c r="O30" s="21" t="s">
        <v>401</v>
      </c>
      <c r="P30" s="21"/>
      <c r="Q30" s="4" t="s">
        <v>421</v>
      </c>
      <c r="R30" s="4"/>
      <c r="S30" s="4" t="s">
        <v>446</v>
      </c>
      <c r="T30" s="4" t="s">
        <v>26</v>
      </c>
      <c r="U30" s="4" t="s">
        <v>26</v>
      </c>
      <c r="V30" s="4" t="s">
        <v>476</v>
      </c>
      <c r="W30" t="s">
        <v>491</v>
      </c>
    </row>
    <row r="31" spans="1:23" x14ac:dyDescent="0.25">
      <c r="A31" s="3">
        <v>40</v>
      </c>
      <c r="B31" s="4">
        <v>200</v>
      </c>
      <c r="C31" s="4" t="s">
        <v>183</v>
      </c>
      <c r="D31" s="4" t="s">
        <v>184</v>
      </c>
      <c r="E31" s="4" t="s">
        <v>539</v>
      </c>
      <c r="F31" s="4" t="s">
        <v>190</v>
      </c>
      <c r="G31" s="4" t="s">
        <v>317</v>
      </c>
      <c r="H31" s="4" t="s">
        <v>258</v>
      </c>
      <c r="I31" s="4" t="s">
        <v>20</v>
      </c>
      <c r="J31" s="18" t="s">
        <v>21</v>
      </c>
      <c r="K31" s="24" t="s">
        <v>350</v>
      </c>
      <c r="L31" s="24" t="s">
        <v>569</v>
      </c>
      <c r="M31" s="24">
        <v>11</v>
      </c>
      <c r="N31" s="25" t="s">
        <v>22</v>
      </c>
      <c r="O31" s="21" t="s">
        <v>402</v>
      </c>
      <c r="P31" s="21"/>
      <c r="Q31" s="4" t="s">
        <v>422</v>
      </c>
      <c r="R31" s="4"/>
      <c r="S31" s="4" t="s">
        <v>447</v>
      </c>
      <c r="T31" s="4" t="s">
        <v>26</v>
      </c>
      <c r="U31" s="4" t="s">
        <v>26</v>
      </c>
      <c r="V31" s="4" t="s">
        <v>332</v>
      </c>
      <c r="W31" t="s">
        <v>492</v>
      </c>
    </row>
    <row r="32" spans="1:23" x14ac:dyDescent="0.25">
      <c r="A32" s="3">
        <v>21</v>
      </c>
      <c r="B32" s="4">
        <v>200</v>
      </c>
      <c r="C32" s="4" t="s">
        <v>100</v>
      </c>
      <c r="D32" s="4" t="s">
        <v>100</v>
      </c>
      <c r="E32" s="4" t="s">
        <v>319</v>
      </c>
      <c r="F32" s="4" t="s">
        <v>318</v>
      </c>
      <c r="G32" s="4" t="s">
        <v>110</v>
      </c>
      <c r="H32" s="4" t="s">
        <v>237</v>
      </c>
      <c r="I32" s="4" t="s">
        <v>20</v>
      </c>
      <c r="J32" s="18" t="s">
        <v>21</v>
      </c>
      <c r="K32" s="25" t="s">
        <v>351</v>
      </c>
      <c r="L32" s="25" t="s">
        <v>572</v>
      </c>
      <c r="M32" s="25"/>
      <c r="N32" s="24" t="s">
        <v>385</v>
      </c>
      <c r="O32" s="21" t="s">
        <v>403</v>
      </c>
      <c r="P32" s="21"/>
      <c r="Q32" s="4" t="s">
        <v>278</v>
      </c>
      <c r="R32" s="4"/>
      <c r="S32" s="4" t="s">
        <v>448</v>
      </c>
      <c r="T32" s="4" t="s">
        <v>26</v>
      </c>
      <c r="U32" s="4" t="s">
        <v>26</v>
      </c>
      <c r="V32" s="4" t="s">
        <v>477</v>
      </c>
      <c r="W32" t="s">
        <v>493</v>
      </c>
    </row>
    <row r="33" spans="1:23" x14ac:dyDescent="0.25">
      <c r="A33" s="3">
        <v>19</v>
      </c>
      <c r="B33" s="4">
        <v>200</v>
      </c>
      <c r="C33" s="4" t="s">
        <v>100</v>
      </c>
      <c r="D33" s="4" t="s">
        <v>100</v>
      </c>
      <c r="E33" s="4" t="s">
        <v>540</v>
      </c>
      <c r="F33" s="4" t="s">
        <v>112</v>
      </c>
      <c r="G33" s="4" t="s">
        <v>103</v>
      </c>
      <c r="H33" s="4" t="s">
        <v>238</v>
      </c>
      <c r="I33" s="4" t="s">
        <v>20</v>
      </c>
      <c r="J33" s="18" t="s">
        <v>21</v>
      </c>
      <c r="K33" s="24" t="s">
        <v>352</v>
      </c>
      <c r="L33" s="24" t="s">
        <v>569</v>
      </c>
      <c r="M33" s="24">
        <v>11</v>
      </c>
      <c r="N33" s="25" t="s">
        <v>22</v>
      </c>
      <c r="O33" s="21" t="s">
        <v>404</v>
      </c>
      <c r="P33" s="21"/>
      <c r="Q33" s="4" t="s">
        <v>423</v>
      </c>
      <c r="R33" s="4"/>
      <c r="S33" s="4" t="s">
        <v>444</v>
      </c>
      <c r="T33" s="4" t="s">
        <v>26</v>
      </c>
      <c r="U33" s="4" t="s">
        <v>26</v>
      </c>
      <c r="V33" s="4" t="s">
        <v>478</v>
      </c>
      <c r="W33" t="s">
        <v>494</v>
      </c>
    </row>
    <row r="34" spans="1:23" x14ac:dyDescent="0.25">
      <c r="A34" s="3">
        <v>20</v>
      </c>
      <c r="B34" s="4">
        <v>200</v>
      </c>
      <c r="C34" s="4" t="s">
        <v>100</v>
      </c>
      <c r="D34" s="4" t="s">
        <v>100</v>
      </c>
      <c r="E34" s="4" t="s">
        <v>541</v>
      </c>
      <c r="F34" s="4" t="s">
        <v>107</v>
      </c>
      <c r="G34" s="4" t="s">
        <v>105</v>
      </c>
      <c r="H34" s="4" t="s">
        <v>236</v>
      </c>
      <c r="I34" s="4" t="s">
        <v>20</v>
      </c>
      <c r="J34" s="18" t="s">
        <v>21</v>
      </c>
      <c r="K34" s="25" t="s">
        <v>337</v>
      </c>
      <c r="L34" s="25" t="s">
        <v>569</v>
      </c>
      <c r="M34" s="25">
        <v>11</v>
      </c>
      <c r="N34" s="24" t="s">
        <v>69</v>
      </c>
      <c r="O34" s="21" t="s">
        <v>405</v>
      </c>
      <c r="P34" s="21"/>
      <c r="Q34" s="4" t="s">
        <v>424</v>
      </c>
      <c r="R34" s="4"/>
      <c r="S34" s="4" t="s">
        <v>449</v>
      </c>
      <c r="T34" s="4" t="s">
        <v>26</v>
      </c>
      <c r="U34" s="4" t="s">
        <v>26</v>
      </c>
      <c r="V34" s="4" t="s">
        <v>332</v>
      </c>
      <c r="W34" t="s">
        <v>495</v>
      </c>
    </row>
    <row r="35" spans="1:23" x14ac:dyDescent="0.25">
      <c r="A35" s="3">
        <v>28</v>
      </c>
      <c r="B35" s="4">
        <v>200</v>
      </c>
      <c r="C35" s="4" t="s">
        <v>130</v>
      </c>
      <c r="D35" s="4" t="s">
        <v>131</v>
      </c>
      <c r="E35" s="4" t="s">
        <v>542</v>
      </c>
      <c r="F35" s="4" t="s">
        <v>136</v>
      </c>
      <c r="G35" s="4" t="s">
        <v>137</v>
      </c>
      <c r="H35" s="4" t="s">
        <v>247</v>
      </c>
      <c r="I35" s="4" t="s">
        <v>20</v>
      </c>
      <c r="J35" s="18" t="s">
        <v>21</v>
      </c>
      <c r="K35" s="24" t="s">
        <v>352</v>
      </c>
      <c r="L35" s="24" t="s">
        <v>569</v>
      </c>
      <c r="M35" s="24">
        <v>11</v>
      </c>
      <c r="N35" s="25" t="s">
        <v>379</v>
      </c>
      <c r="O35" s="21" t="s">
        <v>404</v>
      </c>
      <c r="P35" s="21"/>
      <c r="Q35" s="4" t="s">
        <v>278</v>
      </c>
      <c r="R35" s="4"/>
      <c r="S35" s="4" t="s">
        <v>450</v>
      </c>
      <c r="T35" s="4" t="s">
        <v>26</v>
      </c>
      <c r="U35" s="4" t="s">
        <v>26</v>
      </c>
      <c r="V35" s="4" t="s">
        <v>332</v>
      </c>
      <c r="W35" t="s">
        <v>496</v>
      </c>
    </row>
    <row r="36" spans="1:23" x14ac:dyDescent="0.25">
      <c r="A36" s="3">
        <v>18</v>
      </c>
      <c r="B36" s="4">
        <v>200</v>
      </c>
      <c r="C36" s="4" t="s">
        <v>95</v>
      </c>
      <c r="D36" s="4" t="s">
        <v>95</v>
      </c>
      <c r="E36" s="4" t="s">
        <v>543</v>
      </c>
      <c r="F36" s="4" t="s">
        <v>97</v>
      </c>
      <c r="G36" s="4" t="s">
        <v>98</v>
      </c>
      <c r="H36" s="4" t="s">
        <v>240</v>
      </c>
      <c r="I36" s="4" t="s">
        <v>20</v>
      </c>
      <c r="J36" s="18" t="s">
        <v>21</v>
      </c>
      <c r="K36" s="25" t="s">
        <v>353</v>
      </c>
      <c r="L36" s="25" t="s">
        <v>573</v>
      </c>
      <c r="M36" s="25"/>
      <c r="N36" s="24" t="s">
        <v>386</v>
      </c>
      <c r="O36" s="21" t="s">
        <v>403</v>
      </c>
      <c r="P36" s="21"/>
      <c r="Q36" s="4" t="s">
        <v>425</v>
      </c>
      <c r="R36" s="4"/>
      <c r="S36" s="4" t="s">
        <v>451</v>
      </c>
      <c r="T36" s="4" t="s">
        <v>26</v>
      </c>
      <c r="U36" s="4" t="s">
        <v>26</v>
      </c>
      <c r="V36" s="4" t="s">
        <v>479</v>
      </c>
      <c r="W36" t="s">
        <v>497</v>
      </c>
    </row>
    <row r="37" spans="1:23" x14ac:dyDescent="0.25">
      <c r="A37" s="5">
        <v>50</v>
      </c>
      <c r="B37" s="6">
        <v>200</v>
      </c>
      <c r="C37" s="6" t="s">
        <v>183</v>
      </c>
      <c r="D37" s="6" t="s">
        <v>170</v>
      </c>
      <c r="E37" s="6" t="s">
        <v>544</v>
      </c>
      <c r="F37" s="6" t="s">
        <v>315</v>
      </c>
      <c r="G37" s="6" t="s">
        <v>229</v>
      </c>
      <c r="H37" s="4" t="s">
        <v>268</v>
      </c>
      <c r="I37" s="6" t="s">
        <v>20</v>
      </c>
      <c r="J37" s="19" t="s">
        <v>21</v>
      </c>
      <c r="K37" s="24" t="s">
        <v>354</v>
      </c>
      <c r="L37" s="24" t="s">
        <v>569</v>
      </c>
      <c r="M37" s="24">
        <v>3</v>
      </c>
      <c r="N37" s="25" t="s">
        <v>377</v>
      </c>
      <c r="O37" s="22" t="s">
        <v>406</v>
      </c>
      <c r="P37" s="22"/>
      <c r="Q37" s="6" t="s">
        <v>426</v>
      </c>
      <c r="R37" s="6" t="s">
        <v>567</v>
      </c>
      <c r="S37" s="6" t="s">
        <v>452</v>
      </c>
      <c r="T37" s="6" t="s">
        <v>26</v>
      </c>
      <c r="U37" s="6" t="s">
        <v>26</v>
      </c>
      <c r="V37" s="6" t="s">
        <v>480</v>
      </c>
      <c r="W37" t="s">
        <v>498</v>
      </c>
    </row>
    <row r="38" spans="1:23" x14ac:dyDescent="0.25">
      <c r="A38" s="3">
        <v>16</v>
      </c>
      <c r="B38" s="4">
        <v>200</v>
      </c>
      <c r="C38" s="4" t="s">
        <v>73</v>
      </c>
      <c r="D38" s="4" t="s">
        <v>88</v>
      </c>
      <c r="E38" s="4" t="s">
        <v>545</v>
      </c>
      <c r="F38" s="4" t="s">
        <v>560</v>
      </c>
      <c r="G38" s="4" t="s">
        <v>85</v>
      </c>
      <c r="H38" s="4" t="s">
        <v>235</v>
      </c>
      <c r="I38" s="4" t="s">
        <v>20</v>
      </c>
      <c r="J38" s="18" t="s">
        <v>21</v>
      </c>
      <c r="K38" s="25" t="s">
        <v>356</v>
      </c>
      <c r="L38" s="25" t="s">
        <v>570</v>
      </c>
      <c r="M38" s="25">
        <v>11</v>
      </c>
      <c r="N38" s="24" t="s">
        <v>165</v>
      </c>
      <c r="O38" s="21" t="s">
        <v>407</v>
      </c>
      <c r="P38" s="21"/>
      <c r="Q38" s="4" t="s">
        <v>278</v>
      </c>
      <c r="R38" s="4"/>
      <c r="S38" s="4" t="s">
        <v>453</v>
      </c>
      <c r="T38" s="4" t="s">
        <v>26</v>
      </c>
      <c r="U38" s="4" t="s">
        <v>87</v>
      </c>
      <c r="V38" s="4" t="s">
        <v>481</v>
      </c>
      <c r="W38" t="s">
        <v>499</v>
      </c>
    </row>
    <row r="39" spans="1:23" x14ac:dyDescent="0.25">
      <c r="A39" s="3">
        <v>15</v>
      </c>
      <c r="B39" s="4">
        <v>200</v>
      </c>
      <c r="C39" s="4" t="s">
        <v>73</v>
      </c>
      <c r="D39" s="4" t="s">
        <v>73</v>
      </c>
      <c r="E39" s="4" t="s">
        <v>546</v>
      </c>
      <c r="F39" s="4" t="s">
        <v>561</v>
      </c>
      <c r="G39" s="4" t="s">
        <v>79</v>
      </c>
      <c r="H39" s="4" t="s">
        <v>232</v>
      </c>
      <c r="I39" s="4" t="s">
        <v>20</v>
      </c>
      <c r="J39" s="18" t="s">
        <v>21</v>
      </c>
      <c r="K39" s="24" t="s">
        <v>357</v>
      </c>
      <c r="L39" s="24" t="s">
        <v>570</v>
      </c>
      <c r="M39" s="24">
        <v>11</v>
      </c>
      <c r="N39" s="25" t="s">
        <v>165</v>
      </c>
      <c r="O39" s="21" t="s">
        <v>408</v>
      </c>
      <c r="P39" s="21"/>
      <c r="Q39" s="4" t="s">
        <v>278</v>
      </c>
      <c r="R39" s="4"/>
      <c r="S39" s="4" t="s">
        <v>453</v>
      </c>
      <c r="T39" s="4" t="s">
        <v>26</v>
      </c>
      <c r="U39" s="4" t="s">
        <v>26</v>
      </c>
      <c r="V39" s="4" t="s">
        <v>332</v>
      </c>
      <c r="W39" t="s">
        <v>500</v>
      </c>
    </row>
    <row r="40" spans="1:23" x14ac:dyDescent="0.25">
      <c r="A40" s="3">
        <v>13</v>
      </c>
      <c r="B40" s="4">
        <v>200</v>
      </c>
      <c r="C40" s="4" t="s">
        <v>73</v>
      </c>
      <c r="D40" s="4" t="s">
        <v>73</v>
      </c>
      <c r="E40" s="4" t="s">
        <v>547</v>
      </c>
      <c r="F40" s="4" t="s">
        <v>71</v>
      </c>
      <c r="G40" s="4" t="s">
        <v>72</v>
      </c>
      <c r="H40" s="4" t="s">
        <v>231</v>
      </c>
      <c r="I40" s="4" t="s">
        <v>20</v>
      </c>
      <c r="J40" s="18" t="s">
        <v>21</v>
      </c>
      <c r="K40" s="25" t="s">
        <v>358</v>
      </c>
      <c r="L40" s="25" t="s">
        <v>569</v>
      </c>
      <c r="M40" s="25">
        <v>11</v>
      </c>
      <c r="N40" s="24" t="s">
        <v>69</v>
      </c>
      <c r="O40" s="21" t="s">
        <v>409</v>
      </c>
      <c r="P40" s="21"/>
      <c r="Q40" s="4" t="s">
        <v>427</v>
      </c>
      <c r="R40" s="4"/>
      <c r="S40" s="4" t="s">
        <v>454</v>
      </c>
      <c r="T40" s="4" t="s">
        <v>26</v>
      </c>
      <c r="U40" s="4" t="s">
        <v>26</v>
      </c>
      <c r="V40" s="4" t="s">
        <v>332</v>
      </c>
      <c r="W40" t="s">
        <v>501</v>
      </c>
    </row>
    <row r="41" spans="1:23" x14ac:dyDescent="0.25">
      <c r="A41" s="3">
        <v>2</v>
      </c>
      <c r="B41" s="4">
        <v>177</v>
      </c>
      <c r="C41" s="4" t="s">
        <v>113</v>
      </c>
      <c r="D41" s="4" t="s">
        <v>271</v>
      </c>
      <c r="E41" s="4" t="s">
        <v>548</v>
      </c>
      <c r="F41" s="4" t="s">
        <v>562</v>
      </c>
      <c r="G41" s="4" t="s">
        <v>29</v>
      </c>
      <c r="H41" s="4"/>
      <c r="I41" s="4" t="s">
        <v>20</v>
      </c>
      <c r="J41" s="18" t="s">
        <v>21</v>
      </c>
      <c r="K41" s="24" t="s">
        <v>359</v>
      </c>
      <c r="L41" s="24" t="s">
        <v>569</v>
      </c>
      <c r="M41" s="24">
        <v>10</v>
      </c>
      <c r="N41" s="25" t="s">
        <v>305</v>
      </c>
      <c r="O41" s="21" t="s">
        <v>276</v>
      </c>
      <c r="P41" s="21"/>
      <c r="Q41" s="4" t="s">
        <v>428</v>
      </c>
      <c r="R41" s="4"/>
      <c r="S41" s="4" t="s">
        <v>444</v>
      </c>
      <c r="T41" s="4" t="s">
        <v>26</v>
      </c>
      <c r="U41" s="4" t="s">
        <v>31</v>
      </c>
      <c r="V41" s="4" t="s">
        <v>481</v>
      </c>
      <c r="W41" t="s">
        <v>502</v>
      </c>
    </row>
    <row r="42" spans="1:23" ht="15" customHeight="1" x14ac:dyDescent="0.25">
      <c r="A42" s="3">
        <v>4</v>
      </c>
      <c r="B42" s="4">
        <v>177</v>
      </c>
      <c r="C42" s="4" t="s">
        <v>273</v>
      </c>
      <c r="D42" s="4"/>
      <c r="E42" s="4" t="s">
        <v>549</v>
      </c>
      <c r="F42" s="4" t="s">
        <v>563</v>
      </c>
      <c r="G42" s="4" t="s">
        <v>37</v>
      </c>
      <c r="H42" s="4"/>
      <c r="I42" s="4" t="s">
        <v>20</v>
      </c>
      <c r="J42" s="18" t="s">
        <v>21</v>
      </c>
      <c r="K42" s="25" t="s">
        <v>360</v>
      </c>
      <c r="L42" s="25" t="s">
        <v>569</v>
      </c>
      <c r="M42" s="25">
        <v>11</v>
      </c>
      <c r="N42" s="4" t="s">
        <v>22</v>
      </c>
      <c r="O42" s="21" t="s">
        <v>285</v>
      </c>
      <c r="P42" s="21"/>
      <c r="Q42" s="4" t="s">
        <v>429</v>
      </c>
      <c r="R42" s="4"/>
      <c r="S42" s="4" t="s">
        <v>444</v>
      </c>
      <c r="T42" s="4" t="s">
        <v>26</v>
      </c>
      <c r="U42" s="4" t="s">
        <v>38</v>
      </c>
      <c r="V42" s="4" t="s">
        <v>332</v>
      </c>
      <c r="W42" t="s">
        <v>503</v>
      </c>
    </row>
    <row r="43" spans="1:23" x14ac:dyDescent="0.25">
      <c r="A43" s="3">
        <v>3</v>
      </c>
      <c r="B43" s="4">
        <v>177</v>
      </c>
      <c r="C43" s="4"/>
      <c r="D43" s="4"/>
      <c r="E43" s="4" t="s">
        <v>550</v>
      </c>
      <c r="F43" s="4" t="s">
        <v>562</v>
      </c>
      <c r="G43" s="4" t="s">
        <v>223</v>
      </c>
      <c r="H43" s="4"/>
      <c r="I43" s="4" t="s">
        <v>20</v>
      </c>
      <c r="J43" s="18" t="s">
        <v>21</v>
      </c>
      <c r="K43" s="26"/>
      <c r="L43" s="26" t="s">
        <v>572</v>
      </c>
      <c r="M43" s="26"/>
      <c r="N43" s="4" t="s">
        <v>111</v>
      </c>
      <c r="O43" s="21" t="s">
        <v>410</v>
      </c>
      <c r="P43" s="21"/>
      <c r="Q43" s="4" t="s">
        <v>278</v>
      </c>
      <c r="R43" s="4"/>
      <c r="S43" s="4" t="s">
        <v>444</v>
      </c>
      <c r="T43" s="4" t="s">
        <v>26</v>
      </c>
      <c r="U43" s="4" t="s">
        <v>26</v>
      </c>
      <c r="V43" s="4" t="s">
        <v>332</v>
      </c>
      <c r="W43" t="s">
        <v>504</v>
      </c>
    </row>
    <row r="44" spans="1:23" x14ac:dyDescent="0.25">
      <c r="A44" s="3">
        <v>1</v>
      </c>
      <c r="B44" s="4">
        <v>177</v>
      </c>
      <c r="C44" s="4" t="s">
        <v>113</v>
      </c>
      <c r="D44" s="4" t="s">
        <v>272</v>
      </c>
      <c r="E44" s="4" t="s">
        <v>551</v>
      </c>
      <c r="F44" s="4" t="s">
        <v>17</v>
      </c>
      <c r="G44" s="4" t="s">
        <v>18</v>
      </c>
      <c r="H44" s="4"/>
      <c r="I44" s="4" t="s">
        <v>20</v>
      </c>
      <c r="J44" s="18" t="s">
        <v>21</v>
      </c>
      <c r="K44" s="25" t="s">
        <v>360</v>
      </c>
      <c r="L44" s="25" t="s">
        <v>569</v>
      </c>
      <c r="M44" s="25">
        <v>11</v>
      </c>
      <c r="N44" s="4" t="s">
        <v>22</v>
      </c>
      <c r="O44" s="21" t="s">
        <v>411</v>
      </c>
      <c r="P44" s="21"/>
      <c r="Q44" s="4" t="s">
        <v>430</v>
      </c>
      <c r="R44" s="4"/>
      <c r="S44" s="4" t="s">
        <v>455</v>
      </c>
      <c r="T44" s="4" t="s">
        <v>26</v>
      </c>
      <c r="U44" s="4" t="s">
        <v>26</v>
      </c>
      <c r="V44" s="4" t="s">
        <v>482</v>
      </c>
      <c r="W44" t="s">
        <v>505</v>
      </c>
    </row>
    <row r="45" spans="1:23" x14ac:dyDescent="0.25">
      <c r="A45" s="3">
        <v>7</v>
      </c>
      <c r="B45" s="4">
        <v>177</v>
      </c>
      <c r="C45" s="4" t="s">
        <v>167</v>
      </c>
      <c r="D45" s="4" t="s">
        <v>167</v>
      </c>
      <c r="E45" s="4" t="s">
        <v>552</v>
      </c>
      <c r="F45" s="4" t="s">
        <v>46</v>
      </c>
      <c r="G45" s="4" t="s">
        <v>47</v>
      </c>
      <c r="H45" s="4"/>
      <c r="I45" s="4" t="s">
        <v>20</v>
      </c>
      <c r="J45" s="18" t="s">
        <v>21</v>
      </c>
      <c r="K45" s="24" t="s">
        <v>361</v>
      </c>
      <c r="L45" s="24" t="s">
        <v>569</v>
      </c>
      <c r="M45" s="24">
        <v>5</v>
      </c>
      <c r="N45" s="4" t="s">
        <v>48</v>
      </c>
      <c r="O45" s="21" t="s">
        <v>412</v>
      </c>
      <c r="P45" s="21"/>
      <c r="Q45" s="4" t="s">
        <v>431</v>
      </c>
      <c r="R45" s="4"/>
      <c r="S45" s="4" t="s">
        <v>454</v>
      </c>
      <c r="T45" s="4" t="s">
        <v>26</v>
      </c>
      <c r="U45" s="4" t="s">
        <v>51</v>
      </c>
      <c r="V45" s="4" t="s">
        <v>332</v>
      </c>
      <c r="W45" t="s">
        <v>506</v>
      </c>
    </row>
    <row r="46" spans="1:23" x14ac:dyDescent="0.25">
      <c r="A46" s="3">
        <v>34</v>
      </c>
      <c r="B46" s="4">
        <v>200</v>
      </c>
      <c r="C46" s="4" t="s">
        <v>153</v>
      </c>
      <c r="D46" s="4" t="s">
        <v>153</v>
      </c>
      <c r="E46" s="4" t="s">
        <v>553</v>
      </c>
      <c r="F46" s="4" t="s">
        <v>46</v>
      </c>
      <c r="G46" s="4" t="s">
        <v>34</v>
      </c>
      <c r="H46" s="4" t="s">
        <v>252</v>
      </c>
      <c r="I46" s="4" t="s">
        <v>20</v>
      </c>
      <c r="J46" s="18" t="s">
        <v>21</v>
      </c>
      <c r="K46" s="25" t="s">
        <v>360</v>
      </c>
      <c r="L46" s="25" t="s">
        <v>569</v>
      </c>
      <c r="M46" s="25">
        <v>11</v>
      </c>
      <c r="N46" s="4" t="s">
        <v>22</v>
      </c>
      <c r="O46" s="21" t="s">
        <v>413</v>
      </c>
      <c r="P46" s="21"/>
      <c r="Q46" s="4" t="s">
        <v>432</v>
      </c>
      <c r="R46" s="4"/>
      <c r="S46" s="4" t="s">
        <v>456</v>
      </c>
      <c r="T46" s="4" t="s">
        <v>26</v>
      </c>
      <c r="U46" s="4" t="s">
        <v>26</v>
      </c>
      <c r="V46" s="4" t="s">
        <v>332</v>
      </c>
      <c r="W46" t="s">
        <v>507</v>
      </c>
    </row>
    <row r="47" spans="1:23" x14ac:dyDescent="0.25">
      <c r="A47" s="3">
        <v>9</v>
      </c>
      <c r="B47" s="4">
        <v>177</v>
      </c>
      <c r="C47" s="4" t="s">
        <v>271</v>
      </c>
      <c r="D47" s="4" t="s">
        <v>271</v>
      </c>
      <c r="E47" s="4" t="s">
        <v>554</v>
      </c>
      <c r="F47" s="4" t="s">
        <v>564</v>
      </c>
      <c r="G47" s="4" t="s">
        <v>54</v>
      </c>
      <c r="H47" s="4"/>
      <c r="I47" s="4" t="s">
        <v>20</v>
      </c>
      <c r="J47" s="18" t="s">
        <v>21</v>
      </c>
      <c r="K47" s="24" t="s">
        <v>362</v>
      </c>
      <c r="L47" s="24" t="s">
        <v>573</v>
      </c>
      <c r="M47" s="24"/>
      <c r="N47" s="4" t="s">
        <v>55</v>
      </c>
      <c r="O47" s="21" t="s">
        <v>414</v>
      </c>
      <c r="P47" s="21"/>
      <c r="Q47" s="4" t="s">
        <v>278</v>
      </c>
      <c r="R47" s="4"/>
      <c r="S47" s="4" t="s">
        <v>455</v>
      </c>
      <c r="T47" s="4" t="s">
        <v>26</v>
      </c>
      <c r="U47" s="4" t="s">
        <v>57</v>
      </c>
      <c r="V47" s="4" t="s">
        <v>332</v>
      </c>
      <c r="W47" t="s">
        <v>508</v>
      </c>
    </row>
    <row r="48" spans="1:23" x14ac:dyDescent="0.25">
      <c r="A48" s="3">
        <v>10</v>
      </c>
      <c r="B48" s="4">
        <v>177</v>
      </c>
      <c r="C48" s="4" t="s">
        <v>113</v>
      </c>
      <c r="D48" s="4" t="s">
        <v>169</v>
      </c>
      <c r="E48" s="4" t="s">
        <v>555</v>
      </c>
      <c r="F48" s="4" t="s">
        <v>59</v>
      </c>
      <c r="G48" s="4" t="s">
        <v>60</v>
      </c>
      <c r="H48" s="4"/>
      <c r="I48" s="4" t="s">
        <v>20</v>
      </c>
      <c r="J48" s="18" t="s">
        <v>21</v>
      </c>
      <c r="K48" s="25" t="s">
        <v>363</v>
      </c>
      <c r="L48" s="25" t="s">
        <v>569</v>
      </c>
      <c r="M48" s="25">
        <v>3</v>
      </c>
      <c r="N48" s="4" t="s">
        <v>61</v>
      </c>
      <c r="O48" s="21" t="s">
        <v>415</v>
      </c>
      <c r="P48" s="21"/>
      <c r="Q48" s="4" t="s">
        <v>278</v>
      </c>
      <c r="R48" s="4"/>
      <c r="S48" s="4" t="s">
        <v>455</v>
      </c>
      <c r="T48" s="4" t="s">
        <v>26</v>
      </c>
      <c r="U48" s="4" t="s">
        <v>26</v>
      </c>
      <c r="V48" s="4" t="s">
        <v>332</v>
      </c>
      <c r="W48" t="s">
        <v>509</v>
      </c>
    </row>
    <row r="49" spans="1:23" x14ac:dyDescent="0.25">
      <c r="A49" s="3">
        <v>6</v>
      </c>
      <c r="B49" s="4">
        <v>177</v>
      </c>
      <c r="C49" s="4" t="s">
        <v>167</v>
      </c>
      <c r="D49" s="4" t="s">
        <v>167</v>
      </c>
      <c r="E49" s="4" t="s">
        <v>556</v>
      </c>
      <c r="F49" s="4" t="s">
        <v>565</v>
      </c>
      <c r="G49" s="4" t="s">
        <v>164</v>
      </c>
      <c r="H49" s="4"/>
      <c r="I49" s="4" t="s">
        <v>20</v>
      </c>
      <c r="J49" s="18" t="s">
        <v>21</v>
      </c>
      <c r="K49" s="24" t="s">
        <v>360</v>
      </c>
      <c r="L49" s="24" t="s">
        <v>570</v>
      </c>
      <c r="M49" s="24">
        <v>11</v>
      </c>
      <c r="N49" s="4" t="s">
        <v>165</v>
      </c>
      <c r="O49" s="21" t="s">
        <v>416</v>
      </c>
      <c r="P49" s="21"/>
      <c r="Q49" s="4" t="s">
        <v>433</v>
      </c>
      <c r="R49" s="4"/>
      <c r="S49" s="4" t="s">
        <v>457</v>
      </c>
      <c r="T49" s="4" t="s">
        <v>26</v>
      </c>
      <c r="U49" s="4" t="s">
        <v>26</v>
      </c>
      <c r="V49" s="4" t="s">
        <v>332</v>
      </c>
      <c r="W49" t="s">
        <v>510</v>
      </c>
    </row>
    <row r="50" spans="1:23" x14ac:dyDescent="0.25">
      <c r="A50" s="3">
        <v>7</v>
      </c>
      <c r="B50" s="4">
        <v>177</v>
      </c>
      <c r="C50" s="4" t="s">
        <v>167</v>
      </c>
      <c r="D50" s="4" t="s">
        <v>167</v>
      </c>
      <c r="E50" s="4" t="s">
        <v>320</v>
      </c>
      <c r="F50" s="4" t="s">
        <v>174</v>
      </c>
      <c r="G50" s="4" t="s">
        <v>175</v>
      </c>
      <c r="H50" s="4"/>
      <c r="I50" s="4" t="s">
        <v>20</v>
      </c>
      <c r="J50" s="18" t="s">
        <v>21</v>
      </c>
      <c r="K50" s="25" t="s">
        <v>360</v>
      </c>
      <c r="L50" s="25" t="s">
        <v>569</v>
      </c>
      <c r="M50" s="25">
        <v>5</v>
      </c>
      <c r="N50" s="4" t="s">
        <v>48</v>
      </c>
      <c r="O50" s="21" t="s">
        <v>285</v>
      </c>
      <c r="P50" s="21"/>
      <c r="Q50" s="4" t="s">
        <v>434</v>
      </c>
      <c r="R50" s="4"/>
      <c r="S50" s="4" t="s">
        <v>444</v>
      </c>
      <c r="T50" s="4" t="s">
        <v>26</v>
      </c>
      <c r="U50" s="4" t="s">
        <v>51</v>
      </c>
      <c r="V50" s="4" t="s">
        <v>332</v>
      </c>
      <c r="W50" t="s">
        <v>511</v>
      </c>
    </row>
    <row r="51" spans="1:23" ht="15" customHeight="1" x14ac:dyDescent="0.25">
      <c r="A51" s="3">
        <v>38</v>
      </c>
      <c r="B51" s="4">
        <v>200</v>
      </c>
      <c r="C51" s="4" t="s">
        <v>168</v>
      </c>
      <c r="D51" s="4" t="s">
        <v>168</v>
      </c>
      <c r="E51" s="4" t="s">
        <v>321</v>
      </c>
      <c r="F51" s="4" t="s">
        <v>566</v>
      </c>
      <c r="G51" s="4" t="s">
        <v>179</v>
      </c>
      <c r="H51" s="4" t="s">
        <v>256</v>
      </c>
      <c r="I51" s="4" t="s">
        <v>20</v>
      </c>
      <c r="J51" s="18" t="s">
        <v>21</v>
      </c>
      <c r="K51" s="24" t="s">
        <v>361</v>
      </c>
      <c r="L51" s="24" t="s">
        <v>569</v>
      </c>
      <c r="M51" s="24">
        <v>11</v>
      </c>
      <c r="N51" s="4" t="s">
        <v>22</v>
      </c>
      <c r="O51" s="21" t="s">
        <v>417</v>
      </c>
      <c r="P51" s="21"/>
      <c r="Q51" s="4" t="s">
        <v>435</v>
      </c>
      <c r="R51" s="4"/>
      <c r="S51" s="4" t="s">
        <v>458</v>
      </c>
      <c r="T51" s="4" t="s">
        <v>26</v>
      </c>
      <c r="U51" s="4" t="s">
        <v>180</v>
      </c>
      <c r="V51" s="4" t="s">
        <v>483</v>
      </c>
      <c r="W51" t="s">
        <v>512</v>
      </c>
    </row>
    <row r="52" spans="1:23" s="17" customFormat="1" x14ac:dyDescent="0.25">
      <c r="A52" s="14">
        <v>51</v>
      </c>
      <c r="B52" s="15">
        <v>200</v>
      </c>
      <c r="C52" s="14" t="s">
        <v>307</v>
      </c>
      <c r="D52" s="15" t="s">
        <v>170</v>
      </c>
      <c r="E52" s="13" t="s">
        <v>306</v>
      </c>
      <c r="F52" s="15" t="s">
        <v>178</v>
      </c>
      <c r="G52" s="15" t="s">
        <v>304</v>
      </c>
      <c r="H52" s="16"/>
      <c r="I52" s="15" t="s">
        <v>20</v>
      </c>
      <c r="J52" s="20" t="s">
        <v>21</v>
      </c>
      <c r="K52" s="25" t="s">
        <v>350</v>
      </c>
      <c r="L52" s="25" t="s">
        <v>569</v>
      </c>
      <c r="M52" s="25">
        <v>10</v>
      </c>
      <c r="N52" s="16" t="s">
        <v>305</v>
      </c>
      <c r="O52" s="23" t="s">
        <v>403</v>
      </c>
      <c r="P52" s="23"/>
      <c r="Q52" s="15" t="s">
        <v>424</v>
      </c>
      <c r="R52" s="15"/>
      <c r="S52" s="15" t="s">
        <v>459</v>
      </c>
      <c r="T52" s="15" t="s">
        <v>26</v>
      </c>
      <c r="U52" s="15" t="s">
        <v>26</v>
      </c>
      <c r="V52" s="15" t="s">
        <v>332</v>
      </c>
      <c r="W52" s="17" t="s">
        <v>513</v>
      </c>
    </row>
    <row r="53" spans="1:23" s="17" customFormat="1" x14ac:dyDescent="0.25">
      <c r="A53" s="14">
        <v>52</v>
      </c>
      <c r="B53" s="15">
        <v>200</v>
      </c>
      <c r="C53" s="14" t="s">
        <v>307</v>
      </c>
      <c r="D53" s="15" t="s">
        <v>170</v>
      </c>
      <c r="E53" s="13" t="s">
        <v>322</v>
      </c>
      <c r="F53" s="15" t="s">
        <v>67</v>
      </c>
      <c r="G53" s="15" t="s">
        <v>68</v>
      </c>
      <c r="H53" s="16"/>
      <c r="I53" s="15" t="s">
        <v>20</v>
      </c>
      <c r="J53" s="20" t="s">
        <v>21</v>
      </c>
      <c r="K53" s="25" t="s">
        <v>350</v>
      </c>
      <c r="L53" s="25" t="s">
        <v>569</v>
      </c>
      <c r="M53" s="25">
        <v>10</v>
      </c>
      <c r="N53" s="16" t="s">
        <v>305</v>
      </c>
      <c r="O53" s="21" t="s">
        <v>285</v>
      </c>
      <c r="P53" s="22"/>
      <c r="Q53" s="15" t="s">
        <v>24</v>
      </c>
      <c r="R53" s="15"/>
      <c r="S53" s="4" t="s">
        <v>443</v>
      </c>
      <c r="T53" s="15" t="s">
        <v>26</v>
      </c>
      <c r="U53" s="15" t="s">
        <v>26</v>
      </c>
      <c r="V53" s="15" t="s">
        <v>332</v>
      </c>
      <c r="W53" s="17" t="s">
        <v>513</v>
      </c>
    </row>
  </sheetData>
  <autoFilter ref="A1:W53" xr:uid="{D00ACABF-63E6-4387-9864-0FD065910416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8A71-D292-42C9-BD4F-D03306F57EF3}">
  <dimension ref="A3:J76"/>
  <sheetViews>
    <sheetView topLeftCell="A28" workbookViewId="0">
      <selection activeCell="E52" sqref="E52"/>
    </sheetView>
  </sheetViews>
  <sheetFormatPr baseColWidth="10" defaultRowHeight="15" x14ac:dyDescent="0.25"/>
  <cols>
    <col min="1" max="1" width="17.5703125" bestFit="1" customWidth="1"/>
    <col min="2" max="2" width="15.5703125" bestFit="1" customWidth="1"/>
    <col min="3" max="3" width="4.7109375" customWidth="1"/>
    <col min="4" max="4" width="33.5703125" bestFit="1" customWidth="1"/>
    <col min="5" max="5" width="21.85546875" bestFit="1" customWidth="1"/>
    <col min="6" max="6" width="22" bestFit="1" customWidth="1"/>
    <col min="7" max="7" width="14.42578125" bestFit="1" customWidth="1"/>
    <col min="8" max="8" width="35.140625" bestFit="1" customWidth="1"/>
    <col min="9" max="9" width="7.5703125" bestFit="1" customWidth="1"/>
    <col min="10" max="10" width="13.140625" bestFit="1" customWidth="1"/>
  </cols>
  <sheetData>
    <row r="3" spans="1:10" x14ac:dyDescent="0.25">
      <c r="A3" s="33" t="s">
        <v>1</v>
      </c>
      <c r="B3" s="33" t="s">
        <v>707</v>
      </c>
      <c r="C3" s="33" t="s">
        <v>749</v>
      </c>
      <c r="D3" s="33" t="s">
        <v>711</v>
      </c>
      <c r="E3" s="33" t="s">
        <v>669</v>
      </c>
      <c r="F3" s="33" t="s">
        <v>667</v>
      </c>
      <c r="G3" s="33" t="s">
        <v>568</v>
      </c>
      <c r="H3" s="33" t="s">
        <v>671</v>
      </c>
      <c r="I3" s="33" t="s">
        <v>668</v>
      </c>
      <c r="J3" s="33" t="s">
        <v>8</v>
      </c>
    </row>
    <row r="4" spans="1:10" x14ac:dyDescent="0.25">
      <c r="A4" s="34" t="s">
        <v>167</v>
      </c>
      <c r="B4" s="34" t="s">
        <v>650</v>
      </c>
      <c r="C4" s="34">
        <v>5</v>
      </c>
      <c r="D4" s="34" t="s">
        <v>714</v>
      </c>
      <c r="E4" s="34" t="s">
        <v>651</v>
      </c>
      <c r="F4" s="34" t="s">
        <v>171</v>
      </c>
      <c r="G4" s="34" t="s">
        <v>172</v>
      </c>
      <c r="H4" s="34" t="s">
        <v>292</v>
      </c>
      <c r="I4" s="34" t="s">
        <v>290</v>
      </c>
      <c r="J4" s="34">
        <v>177</v>
      </c>
    </row>
    <row r="5" spans="1:10" x14ac:dyDescent="0.25">
      <c r="A5" s="34"/>
      <c r="B5" s="34"/>
      <c r="C5" s="34"/>
      <c r="D5" s="34"/>
      <c r="E5" s="34" t="s">
        <v>553</v>
      </c>
      <c r="F5" s="34" t="s">
        <v>655</v>
      </c>
      <c r="G5" s="34" t="s">
        <v>379</v>
      </c>
      <c r="H5" s="34" t="s">
        <v>413</v>
      </c>
      <c r="I5" s="34" t="s">
        <v>46</v>
      </c>
      <c r="J5" s="34">
        <v>177</v>
      </c>
    </row>
    <row r="6" spans="1:10" x14ac:dyDescent="0.25">
      <c r="A6" s="34"/>
      <c r="B6" s="34"/>
      <c r="C6" s="57">
        <v>3</v>
      </c>
      <c r="D6" s="57" t="s">
        <v>744</v>
      </c>
      <c r="E6" s="57" t="s">
        <v>552</v>
      </c>
      <c r="F6" s="34" t="s">
        <v>47</v>
      </c>
      <c r="G6" s="34" t="s">
        <v>69</v>
      </c>
      <c r="H6" s="34" t="s">
        <v>412</v>
      </c>
      <c r="I6" t="s">
        <v>46</v>
      </c>
      <c r="J6" s="34">
        <v>177</v>
      </c>
    </row>
    <row r="7" spans="1:10" x14ac:dyDescent="0.25">
      <c r="A7" s="34" t="s">
        <v>183</v>
      </c>
      <c r="B7" s="34" t="s">
        <v>624</v>
      </c>
      <c r="C7" s="57">
        <v>4</v>
      </c>
      <c r="D7" s="57" t="s">
        <v>745</v>
      </c>
      <c r="E7" s="57" t="s">
        <v>544</v>
      </c>
      <c r="F7" s="34" t="s">
        <v>229</v>
      </c>
      <c r="G7" s="34" t="s">
        <v>383</v>
      </c>
      <c r="H7" s="34" t="s">
        <v>406</v>
      </c>
      <c r="I7" s="34" t="s">
        <v>315</v>
      </c>
      <c r="J7" s="34">
        <v>200</v>
      </c>
    </row>
    <row r="8" spans="1:10" x14ac:dyDescent="0.25">
      <c r="A8" s="34"/>
      <c r="B8" s="34" t="s">
        <v>596</v>
      </c>
      <c r="C8" t="s">
        <v>848</v>
      </c>
      <c r="D8" t="s">
        <v>756</v>
      </c>
      <c r="E8" t="s">
        <v>569</v>
      </c>
      <c r="F8" t="s">
        <v>20</v>
      </c>
      <c r="G8" t="s">
        <v>844</v>
      </c>
      <c r="H8" t="s">
        <v>768</v>
      </c>
      <c r="I8" t="s">
        <v>531</v>
      </c>
      <c r="J8" t="s">
        <v>713</v>
      </c>
    </row>
    <row r="9" spans="1:10" x14ac:dyDescent="0.25">
      <c r="A9" s="34"/>
      <c r="B9" s="34"/>
      <c r="C9" s="57">
        <v>5</v>
      </c>
      <c r="D9" s="57" t="s">
        <v>714</v>
      </c>
      <c r="E9" s="57" t="s">
        <v>537</v>
      </c>
      <c r="F9" s="34" t="s">
        <v>219</v>
      </c>
      <c r="G9" s="34" t="s">
        <v>165</v>
      </c>
      <c r="H9" s="34" t="s">
        <v>401</v>
      </c>
      <c r="I9" s="34" t="s">
        <v>559</v>
      </c>
      <c r="J9" s="34">
        <v>200</v>
      </c>
    </row>
    <row r="10" spans="1:10" x14ac:dyDescent="0.25">
      <c r="A10" s="34"/>
      <c r="B10" s="34"/>
      <c r="C10" s="57"/>
      <c r="D10" s="57"/>
      <c r="E10" s="57" t="s">
        <v>326</v>
      </c>
      <c r="F10" s="34" t="s">
        <v>324</v>
      </c>
      <c r="G10" s="34" t="s">
        <v>172</v>
      </c>
      <c r="H10" s="34" t="s">
        <v>406</v>
      </c>
      <c r="I10" s="34" t="s">
        <v>325</v>
      </c>
      <c r="J10" s="34">
        <v>200</v>
      </c>
    </row>
    <row r="11" spans="1:10" x14ac:dyDescent="0.25">
      <c r="A11" s="34"/>
      <c r="B11" s="34"/>
      <c r="C11" s="57"/>
      <c r="D11" s="57"/>
      <c r="E11" s="57" t="s">
        <v>538</v>
      </c>
      <c r="F11" s="34" t="s">
        <v>620</v>
      </c>
      <c r="G11" s="34" t="s">
        <v>165</v>
      </c>
      <c r="H11" s="34" t="s">
        <v>401</v>
      </c>
      <c r="I11" s="34" t="s">
        <v>199</v>
      </c>
      <c r="J11" s="34">
        <v>200</v>
      </c>
    </row>
    <row r="12" spans="1:10" x14ac:dyDescent="0.25">
      <c r="A12" s="34"/>
      <c r="B12" s="34"/>
      <c r="C12" s="57">
        <v>3</v>
      </c>
      <c r="D12" s="57" t="s">
        <v>744</v>
      </c>
      <c r="E12" s="57" t="s">
        <v>539</v>
      </c>
      <c r="F12" s="34" t="s">
        <v>191</v>
      </c>
      <c r="G12" s="34" t="s">
        <v>192</v>
      </c>
      <c r="H12" s="34" t="s">
        <v>402</v>
      </c>
      <c r="I12" s="34" t="s">
        <v>190</v>
      </c>
      <c r="J12" s="34">
        <v>200</v>
      </c>
    </row>
    <row r="13" spans="1:10" x14ac:dyDescent="0.25">
      <c r="A13" s="34"/>
      <c r="B13" s="34"/>
      <c r="C13" s="57">
        <v>2</v>
      </c>
      <c r="D13" s="57" t="s">
        <v>715</v>
      </c>
      <c r="E13" s="57" t="s">
        <v>313</v>
      </c>
      <c r="F13" s="34" t="s">
        <v>311</v>
      </c>
      <c r="G13" s="34" t="s">
        <v>117</v>
      </c>
      <c r="H13" s="34" t="s">
        <v>396</v>
      </c>
      <c r="I13" s="34" t="s">
        <v>312</v>
      </c>
      <c r="J13" s="34">
        <v>200</v>
      </c>
    </row>
    <row r="14" spans="1:10" x14ac:dyDescent="0.25">
      <c r="A14" s="34"/>
      <c r="B14" s="34"/>
      <c r="C14" s="57"/>
      <c r="D14" s="57"/>
      <c r="E14" s="57" t="s">
        <v>279</v>
      </c>
      <c r="F14" s="34" t="s">
        <v>203</v>
      </c>
      <c r="G14" s="34" t="s">
        <v>607</v>
      </c>
      <c r="H14" s="34" t="s">
        <v>393</v>
      </c>
      <c r="I14" s="34" t="s">
        <v>202</v>
      </c>
      <c r="J14" s="34">
        <v>200</v>
      </c>
    </row>
    <row r="15" spans="1:10" x14ac:dyDescent="0.25">
      <c r="A15" s="34"/>
      <c r="B15" s="34"/>
      <c r="C15" s="57"/>
      <c r="D15" s="57"/>
      <c r="E15" s="57" t="s">
        <v>534</v>
      </c>
      <c r="F15" s="34" t="s">
        <v>206</v>
      </c>
      <c r="G15" s="34" t="s">
        <v>134</v>
      </c>
      <c r="H15" s="34" t="s">
        <v>399</v>
      </c>
      <c r="I15" s="34" t="s">
        <v>205</v>
      </c>
      <c r="J15" s="34">
        <v>200</v>
      </c>
    </row>
    <row r="16" spans="1:10" x14ac:dyDescent="0.25">
      <c r="A16" s="34"/>
      <c r="B16" s="34"/>
      <c r="C16" s="57"/>
      <c r="D16" s="57"/>
      <c r="E16" s="57" t="s">
        <v>609</v>
      </c>
      <c r="F16" s="34" t="s">
        <v>323</v>
      </c>
      <c r="G16" s="34" t="s">
        <v>610</v>
      </c>
      <c r="H16" s="34" t="s">
        <v>680</v>
      </c>
      <c r="I16" s="34" t="s">
        <v>202</v>
      </c>
      <c r="J16" s="34">
        <v>200</v>
      </c>
    </row>
    <row r="17" spans="1:10" x14ac:dyDescent="0.25">
      <c r="A17" s="34"/>
      <c r="B17" s="34"/>
      <c r="C17" s="57"/>
      <c r="D17" s="57"/>
      <c r="E17" s="57" t="s">
        <v>535</v>
      </c>
      <c r="F17" s="34" t="s">
        <v>212</v>
      </c>
      <c r="G17" s="34" t="s">
        <v>213</v>
      </c>
      <c r="H17" s="34" t="s">
        <v>400</v>
      </c>
      <c r="I17" s="34" t="s">
        <v>211</v>
      </c>
      <c r="J17" s="34">
        <v>200</v>
      </c>
    </row>
    <row r="18" spans="1:10" x14ac:dyDescent="0.25">
      <c r="A18" s="34"/>
      <c r="B18" s="34"/>
      <c r="C18" s="57"/>
      <c r="D18" s="57"/>
      <c r="E18" s="57" t="s">
        <v>536</v>
      </c>
      <c r="F18" s="34" t="s">
        <v>195</v>
      </c>
      <c r="G18" s="34" t="s">
        <v>117</v>
      </c>
      <c r="H18" s="34" t="s">
        <v>400</v>
      </c>
      <c r="I18" s="34" t="s">
        <v>194</v>
      </c>
      <c r="J18" s="34">
        <v>200</v>
      </c>
    </row>
    <row r="19" spans="1:10" x14ac:dyDescent="0.25">
      <c r="A19" s="34"/>
      <c r="B19" s="34"/>
      <c r="C19" s="57"/>
      <c r="D19" s="57"/>
      <c r="E19" s="57" t="s">
        <v>533</v>
      </c>
      <c r="F19" s="34" t="s">
        <v>222</v>
      </c>
      <c r="G19" s="34" t="s">
        <v>213</v>
      </c>
      <c r="H19" s="34" t="s">
        <v>396</v>
      </c>
      <c r="I19" s="34" t="s">
        <v>221</v>
      </c>
      <c r="J19" s="34">
        <v>200</v>
      </c>
    </row>
    <row r="20" spans="1:10" x14ac:dyDescent="0.25">
      <c r="A20" s="34"/>
      <c r="B20" s="34"/>
      <c r="C20" s="57"/>
      <c r="D20" s="57"/>
      <c r="E20" t="s">
        <v>761</v>
      </c>
      <c r="F20" t="s">
        <v>314</v>
      </c>
      <c r="G20" t="s">
        <v>378</v>
      </c>
      <c r="H20" t="s">
        <v>398</v>
      </c>
      <c r="I20" t="s">
        <v>559</v>
      </c>
      <c r="J20">
        <v>200</v>
      </c>
    </row>
    <row r="21" spans="1:10" x14ac:dyDescent="0.25">
      <c r="A21" s="34"/>
      <c r="B21" s="34"/>
      <c r="C21" s="58">
        <v>1</v>
      </c>
      <c r="D21" s="58" t="s">
        <v>713</v>
      </c>
      <c r="E21" s="57" t="s">
        <v>531</v>
      </c>
      <c r="F21" s="34" t="s">
        <v>217</v>
      </c>
      <c r="G21" s="34" t="s">
        <v>613</v>
      </c>
      <c r="H21" s="34" t="s">
        <v>395</v>
      </c>
      <c r="I21" s="34" t="s">
        <v>216</v>
      </c>
      <c r="J21" s="34">
        <v>200</v>
      </c>
    </row>
    <row r="22" spans="1:10" x14ac:dyDescent="0.25">
      <c r="A22" s="34"/>
      <c r="B22" s="34"/>
      <c r="C22" s="58"/>
      <c r="D22" s="58"/>
      <c r="E22" t="s">
        <v>309</v>
      </c>
      <c r="F22" t="s">
        <v>308</v>
      </c>
      <c r="G22" t="s">
        <v>597</v>
      </c>
      <c r="H22" t="s">
        <v>389</v>
      </c>
      <c r="I22" t="s">
        <v>310</v>
      </c>
      <c r="J22">
        <v>200</v>
      </c>
    </row>
    <row r="23" spans="1:10" x14ac:dyDescent="0.25">
      <c r="A23" s="34"/>
      <c r="B23" s="34"/>
      <c r="C23" s="58"/>
      <c r="D23" s="58"/>
      <c r="E23" s="57" t="s">
        <v>532</v>
      </c>
      <c r="F23" s="34" t="s">
        <v>209</v>
      </c>
      <c r="G23" s="34" t="s">
        <v>377</v>
      </c>
      <c r="H23" s="34" t="s">
        <v>397</v>
      </c>
      <c r="I23" s="34" t="s">
        <v>208</v>
      </c>
      <c r="J23" s="34">
        <v>200</v>
      </c>
    </row>
    <row r="24" spans="1:10" x14ac:dyDescent="0.25">
      <c r="A24" s="34" t="s">
        <v>100</v>
      </c>
      <c r="B24" s="34" t="s">
        <v>702</v>
      </c>
      <c r="C24" t="s">
        <v>756</v>
      </c>
      <c r="D24" t="s">
        <v>713</v>
      </c>
      <c r="E24" t="s">
        <v>829</v>
      </c>
      <c r="F24" t="s">
        <v>76</v>
      </c>
      <c r="G24" t="s">
        <v>792</v>
      </c>
      <c r="H24" t="s">
        <v>285</v>
      </c>
      <c r="I24" t="s">
        <v>318</v>
      </c>
      <c r="J24">
        <v>200</v>
      </c>
    </row>
    <row r="25" spans="1:10" x14ac:dyDescent="0.25">
      <c r="A25" s="34"/>
      <c r="B25" s="34"/>
      <c r="C25" t="s">
        <v>848</v>
      </c>
      <c r="D25" t="s">
        <v>756</v>
      </c>
      <c r="E25" t="s">
        <v>571</v>
      </c>
      <c r="F25" t="s">
        <v>20</v>
      </c>
      <c r="G25" t="s">
        <v>92</v>
      </c>
      <c r="H25" t="s">
        <v>376</v>
      </c>
      <c r="I25" t="s">
        <v>832</v>
      </c>
      <c r="J25" t="s">
        <v>756</v>
      </c>
    </row>
    <row r="26" spans="1:10" x14ac:dyDescent="0.25">
      <c r="A26" s="34"/>
      <c r="B26" s="34"/>
      <c r="C26" s="34">
        <v>3</v>
      </c>
      <c r="D26" s="34" t="s">
        <v>744</v>
      </c>
      <c r="E26" s="34" t="s">
        <v>319</v>
      </c>
      <c r="F26" s="34" t="s">
        <v>317</v>
      </c>
      <c r="G26" s="34" t="s">
        <v>379</v>
      </c>
      <c r="H26" s="34" t="s">
        <v>403</v>
      </c>
      <c r="I26" s="34" t="s">
        <v>318</v>
      </c>
      <c r="J26" s="34">
        <v>200</v>
      </c>
    </row>
    <row r="27" spans="1:10" x14ac:dyDescent="0.25">
      <c r="A27" s="34"/>
      <c r="B27" s="34"/>
      <c r="C27" s="34">
        <v>1</v>
      </c>
      <c r="D27" s="34" t="s">
        <v>713</v>
      </c>
      <c r="E27" t="s">
        <v>832</v>
      </c>
      <c r="F27" t="s">
        <v>105</v>
      </c>
      <c r="G27" t="s">
        <v>106</v>
      </c>
      <c r="H27" t="s">
        <v>405</v>
      </c>
      <c r="I27" t="s">
        <v>318</v>
      </c>
      <c r="J27">
        <v>200</v>
      </c>
    </row>
    <row r="28" spans="1:10" x14ac:dyDescent="0.25">
      <c r="A28" s="34"/>
      <c r="B28" s="34" t="s">
        <v>703</v>
      </c>
      <c r="C28" s="34">
        <v>5</v>
      </c>
      <c r="D28" s="34" t="s">
        <v>714</v>
      </c>
      <c r="E28" s="34" t="s">
        <v>548</v>
      </c>
      <c r="F28" s="34" t="s">
        <v>29</v>
      </c>
      <c r="G28" s="34" t="s">
        <v>22</v>
      </c>
      <c r="H28" s="34" t="s">
        <v>581</v>
      </c>
      <c r="I28" s="34" t="s">
        <v>562</v>
      </c>
      <c r="J28" s="34">
        <v>177</v>
      </c>
    </row>
    <row r="29" spans="1:10" x14ac:dyDescent="0.25">
      <c r="A29" s="34"/>
      <c r="B29" s="34"/>
      <c r="C29" s="34">
        <v>2</v>
      </c>
      <c r="D29" s="34" t="s">
        <v>715</v>
      </c>
      <c r="E29" s="34" t="s">
        <v>550</v>
      </c>
      <c r="F29" s="34" t="s">
        <v>641</v>
      </c>
      <c r="G29" s="34" t="s">
        <v>385</v>
      </c>
      <c r="H29" s="34" t="s">
        <v>410</v>
      </c>
      <c r="I29" t="s">
        <v>562</v>
      </c>
      <c r="J29" s="34">
        <v>177</v>
      </c>
    </row>
    <row r="30" spans="1:10" x14ac:dyDescent="0.25">
      <c r="A30" s="34"/>
      <c r="B30" t="s">
        <v>706</v>
      </c>
      <c r="C30" t="s">
        <v>848</v>
      </c>
      <c r="D30" t="s">
        <v>766</v>
      </c>
      <c r="E30" t="s">
        <v>756</v>
      </c>
      <c r="F30" t="s">
        <v>756</v>
      </c>
      <c r="G30" t="s">
        <v>92</v>
      </c>
      <c r="H30" t="s">
        <v>768</v>
      </c>
      <c r="I30" t="s">
        <v>756</v>
      </c>
      <c r="J30">
        <v>200</v>
      </c>
    </row>
    <row r="31" spans="1:10" x14ac:dyDescent="0.25">
      <c r="A31" s="34" t="s">
        <v>130</v>
      </c>
      <c r="B31" s="34" t="s">
        <v>599</v>
      </c>
      <c r="C31" t="s">
        <v>848</v>
      </c>
      <c r="D31" t="s">
        <v>766</v>
      </c>
      <c r="E31" t="s">
        <v>838</v>
      </c>
      <c r="F31" t="s">
        <v>839</v>
      </c>
      <c r="G31" t="s">
        <v>844</v>
      </c>
      <c r="H31" t="s">
        <v>768</v>
      </c>
      <c r="I31" t="s">
        <v>146</v>
      </c>
      <c r="J31">
        <v>200</v>
      </c>
    </row>
    <row r="32" spans="1:10" x14ac:dyDescent="0.25">
      <c r="A32" s="34"/>
      <c r="B32" s="34"/>
      <c r="D32" t="s">
        <v>756</v>
      </c>
      <c r="E32" t="s">
        <v>756</v>
      </c>
      <c r="F32" t="s">
        <v>756</v>
      </c>
      <c r="G32" t="s">
        <v>756</v>
      </c>
      <c r="H32" t="s">
        <v>756</v>
      </c>
      <c r="I32" t="s">
        <v>756</v>
      </c>
      <c r="J32">
        <v>200</v>
      </c>
    </row>
    <row r="33" spans="1:10" x14ac:dyDescent="0.25">
      <c r="A33" s="34"/>
      <c r="B33" s="34"/>
      <c r="E33" t="s">
        <v>571</v>
      </c>
      <c r="F33" t="s">
        <v>20</v>
      </c>
      <c r="G33" t="s">
        <v>197</v>
      </c>
      <c r="H33" t="s">
        <v>720</v>
      </c>
      <c r="I33" t="s">
        <v>760</v>
      </c>
      <c r="J33" t="s">
        <v>756</v>
      </c>
    </row>
    <row r="34" spans="1:10" x14ac:dyDescent="0.25">
      <c r="A34" s="34"/>
      <c r="B34" s="34"/>
      <c r="C34" s="34">
        <v>3</v>
      </c>
      <c r="D34" s="34" t="s">
        <v>744</v>
      </c>
      <c r="E34" s="34" t="s">
        <v>529</v>
      </c>
      <c r="F34" s="34" t="s">
        <v>602</v>
      </c>
      <c r="G34" s="34" t="s">
        <v>603</v>
      </c>
      <c r="H34" s="34" t="s">
        <v>392</v>
      </c>
      <c r="I34" s="34" t="s">
        <v>150</v>
      </c>
      <c r="J34" s="34">
        <v>200</v>
      </c>
    </row>
    <row r="35" spans="1:10" x14ac:dyDescent="0.25">
      <c r="A35" s="34"/>
      <c r="B35" s="34"/>
      <c r="C35" s="34">
        <v>2</v>
      </c>
      <c r="D35" s="34" t="s">
        <v>715</v>
      </c>
      <c r="E35" s="34" t="s">
        <v>527</v>
      </c>
      <c r="F35" s="34" t="s">
        <v>109</v>
      </c>
      <c r="G35" s="34" t="s">
        <v>597</v>
      </c>
      <c r="H35" s="34" t="s">
        <v>390</v>
      </c>
      <c r="I35" s="34" t="s">
        <v>133</v>
      </c>
      <c r="J35" s="34">
        <v>200</v>
      </c>
    </row>
    <row r="36" spans="1:10" x14ac:dyDescent="0.25">
      <c r="A36" s="34"/>
      <c r="B36" s="34"/>
      <c r="C36" s="34"/>
      <c r="D36" s="34"/>
      <c r="E36" s="34" t="s">
        <v>530</v>
      </c>
      <c r="F36" s="34" t="s">
        <v>140</v>
      </c>
      <c r="G36" s="34" t="s">
        <v>605</v>
      </c>
      <c r="H36" s="34" t="s">
        <v>393</v>
      </c>
      <c r="I36" s="34" t="s">
        <v>558</v>
      </c>
      <c r="J36" s="34">
        <v>200</v>
      </c>
    </row>
    <row r="37" spans="1:10" x14ac:dyDescent="0.25">
      <c r="A37" s="34"/>
      <c r="B37" s="34"/>
      <c r="C37" s="34">
        <v>1</v>
      </c>
      <c r="D37" s="34" t="s">
        <v>713</v>
      </c>
      <c r="E37" s="34" t="s">
        <v>760</v>
      </c>
      <c r="F37" s="34" t="s">
        <v>144</v>
      </c>
      <c r="G37" s="34" t="s">
        <v>600</v>
      </c>
      <c r="H37" s="34" t="s">
        <v>391</v>
      </c>
      <c r="I37" s="34" t="s">
        <v>143</v>
      </c>
      <c r="J37" s="34">
        <v>200</v>
      </c>
    </row>
    <row r="38" spans="1:10" x14ac:dyDescent="0.25">
      <c r="A38" s="34"/>
      <c r="B38" s="34"/>
      <c r="C38" s="34"/>
      <c r="D38" s="34"/>
      <c r="E38" t="s">
        <v>836</v>
      </c>
      <c r="F38" t="s">
        <v>147</v>
      </c>
      <c r="G38" t="s">
        <v>594</v>
      </c>
      <c r="H38" t="s">
        <v>388</v>
      </c>
      <c r="I38" t="s">
        <v>837</v>
      </c>
      <c r="J38">
        <v>200</v>
      </c>
    </row>
    <row r="39" spans="1:10" x14ac:dyDescent="0.25">
      <c r="A39" s="34"/>
      <c r="B39" t="s">
        <v>702</v>
      </c>
      <c r="C39" t="s">
        <v>848</v>
      </c>
      <c r="D39" t="s">
        <v>766</v>
      </c>
      <c r="E39" t="s">
        <v>542</v>
      </c>
      <c r="F39" t="s">
        <v>841</v>
      </c>
      <c r="G39" t="s">
        <v>844</v>
      </c>
      <c r="H39" t="s">
        <v>768</v>
      </c>
      <c r="I39" t="s">
        <v>136</v>
      </c>
      <c r="J39">
        <v>200</v>
      </c>
    </row>
    <row r="40" spans="1:10" x14ac:dyDescent="0.25">
      <c r="A40" s="34"/>
      <c r="E40" t="s">
        <v>789</v>
      </c>
      <c r="F40" t="s">
        <v>756</v>
      </c>
      <c r="G40" t="s">
        <v>92</v>
      </c>
      <c r="H40" t="s">
        <v>768</v>
      </c>
      <c r="I40" t="s">
        <v>788</v>
      </c>
      <c r="J40">
        <v>177</v>
      </c>
    </row>
    <row r="41" spans="1:10" x14ac:dyDescent="0.25">
      <c r="A41" s="34"/>
      <c r="C41">
        <v>3</v>
      </c>
      <c r="D41" t="s">
        <v>744</v>
      </c>
      <c r="E41" t="s">
        <v>543</v>
      </c>
      <c r="F41" t="s">
        <v>98</v>
      </c>
      <c r="G41" t="s">
        <v>382</v>
      </c>
      <c r="H41" t="s">
        <v>403</v>
      </c>
      <c r="I41" t="s">
        <v>97</v>
      </c>
      <c r="J41">
        <v>200</v>
      </c>
    </row>
    <row r="42" spans="1:10" x14ac:dyDescent="0.25">
      <c r="A42" s="34"/>
      <c r="C42">
        <v>1</v>
      </c>
      <c r="D42" t="s">
        <v>713</v>
      </c>
      <c r="E42" t="s">
        <v>833</v>
      </c>
      <c r="F42" t="s">
        <v>110</v>
      </c>
      <c r="G42" t="s">
        <v>380</v>
      </c>
      <c r="H42" t="s">
        <v>404</v>
      </c>
      <c r="I42" t="s">
        <v>107</v>
      </c>
      <c r="J42">
        <v>200</v>
      </c>
    </row>
    <row r="43" spans="1:10" x14ac:dyDescent="0.25">
      <c r="A43" s="34"/>
      <c r="E43" t="s">
        <v>822</v>
      </c>
      <c r="F43" t="s">
        <v>137</v>
      </c>
      <c r="G43" t="s">
        <v>381</v>
      </c>
      <c r="H43" t="s">
        <v>404</v>
      </c>
      <c r="I43" t="s">
        <v>835</v>
      </c>
      <c r="J43">
        <v>200</v>
      </c>
    </row>
    <row r="44" spans="1:10" x14ac:dyDescent="0.25">
      <c r="A44" s="34" t="s">
        <v>73</v>
      </c>
      <c r="B44" s="34" t="s">
        <v>628</v>
      </c>
      <c r="C44" t="s">
        <v>848</v>
      </c>
      <c r="D44" t="s">
        <v>756</v>
      </c>
      <c r="E44" t="s">
        <v>569</v>
      </c>
      <c r="F44" t="s">
        <v>20</v>
      </c>
      <c r="G44" t="s">
        <v>597</v>
      </c>
      <c r="H44" t="s">
        <v>389</v>
      </c>
      <c r="I44" t="s">
        <v>546</v>
      </c>
      <c r="J44" t="s">
        <v>756</v>
      </c>
    </row>
    <row r="45" spans="1:10" x14ac:dyDescent="0.25">
      <c r="A45" s="34"/>
      <c r="B45" s="34"/>
      <c r="C45" s="34">
        <v>3</v>
      </c>
      <c r="D45" s="34" t="s">
        <v>744</v>
      </c>
      <c r="E45" s="34" t="s">
        <v>547</v>
      </c>
      <c r="F45" s="34" t="s">
        <v>72</v>
      </c>
      <c r="G45" s="34" t="s">
        <v>69</v>
      </c>
      <c r="H45" s="34" t="s">
        <v>409</v>
      </c>
      <c r="I45" s="34" t="s">
        <v>71</v>
      </c>
      <c r="J45" s="34">
        <v>200</v>
      </c>
    </row>
    <row r="46" spans="1:10" x14ac:dyDescent="0.25">
      <c r="A46" s="34"/>
      <c r="B46" s="34"/>
      <c r="C46" s="34">
        <v>2</v>
      </c>
      <c r="D46" s="34" t="s">
        <v>715</v>
      </c>
      <c r="E46" s="34" t="s">
        <v>631</v>
      </c>
      <c r="F46" s="34" t="s">
        <v>76</v>
      </c>
      <c r="G46" s="34" t="s">
        <v>77</v>
      </c>
      <c r="H46" s="34" t="s">
        <v>399</v>
      </c>
      <c r="I46" s="34" t="s">
        <v>75</v>
      </c>
      <c r="J46" s="34">
        <v>200</v>
      </c>
    </row>
    <row r="47" spans="1:10" x14ac:dyDescent="0.25">
      <c r="A47" s="34"/>
      <c r="B47" s="34"/>
      <c r="C47" s="34">
        <v>1</v>
      </c>
      <c r="D47" s="34" t="s">
        <v>713</v>
      </c>
      <c r="E47" s="34" t="s">
        <v>546</v>
      </c>
      <c r="F47" s="34" t="s">
        <v>79</v>
      </c>
      <c r="G47" s="34" t="s">
        <v>384</v>
      </c>
      <c r="H47" s="34" t="s">
        <v>408</v>
      </c>
      <c r="I47" s="34" t="s">
        <v>561</v>
      </c>
      <c r="J47" s="34">
        <v>200</v>
      </c>
    </row>
    <row r="48" spans="1:10" x14ac:dyDescent="0.25">
      <c r="A48" s="34"/>
      <c r="B48" s="34" t="s">
        <v>88</v>
      </c>
      <c r="C48">
        <v>1</v>
      </c>
      <c r="D48" t="s">
        <v>713</v>
      </c>
      <c r="E48" s="34" t="s">
        <v>545</v>
      </c>
      <c r="F48" s="34" t="s">
        <v>85</v>
      </c>
      <c r="G48" s="34" t="s">
        <v>86</v>
      </c>
      <c r="H48" s="34" t="s">
        <v>407</v>
      </c>
      <c r="I48" s="34" t="s">
        <v>560</v>
      </c>
      <c r="J48" s="34">
        <v>200</v>
      </c>
    </row>
    <row r="49" spans="1:10" x14ac:dyDescent="0.25">
      <c r="A49" s="34" t="s">
        <v>113</v>
      </c>
      <c r="B49" s="34" t="s">
        <v>642</v>
      </c>
      <c r="C49" t="s">
        <v>848</v>
      </c>
      <c r="D49" t="s">
        <v>766</v>
      </c>
      <c r="E49" t="s">
        <v>125</v>
      </c>
      <c r="F49" t="s">
        <v>842</v>
      </c>
      <c r="G49" t="s">
        <v>844</v>
      </c>
      <c r="H49" t="s">
        <v>768</v>
      </c>
      <c r="I49" t="s">
        <v>126</v>
      </c>
      <c r="J49">
        <v>200</v>
      </c>
    </row>
    <row r="50" spans="1:10" x14ac:dyDescent="0.25">
      <c r="A50" s="34"/>
      <c r="B50" s="34"/>
      <c r="C50" s="34">
        <v>5</v>
      </c>
      <c r="D50" s="34" t="s">
        <v>714</v>
      </c>
      <c r="E50" s="34" t="s">
        <v>549</v>
      </c>
      <c r="F50" s="34" t="s">
        <v>37</v>
      </c>
      <c r="G50" s="34" t="s">
        <v>22</v>
      </c>
      <c r="H50" s="34" t="s">
        <v>285</v>
      </c>
      <c r="I50" s="34" t="s">
        <v>563</v>
      </c>
      <c r="J50" s="34">
        <v>177</v>
      </c>
    </row>
    <row r="51" spans="1:10" x14ac:dyDescent="0.25">
      <c r="A51" s="34"/>
      <c r="B51" s="34"/>
      <c r="C51" s="34"/>
      <c r="D51" s="34"/>
      <c r="E51" s="34" t="s">
        <v>551</v>
      </c>
      <c r="F51" s="34" t="s">
        <v>18</v>
      </c>
      <c r="G51" t="s">
        <v>22</v>
      </c>
      <c r="H51" t="s">
        <v>285</v>
      </c>
      <c r="I51" s="34" t="s">
        <v>17</v>
      </c>
      <c r="J51" s="34">
        <v>177</v>
      </c>
    </row>
    <row r="52" spans="1:10" x14ac:dyDescent="0.25">
      <c r="A52" s="34"/>
      <c r="B52" s="34"/>
      <c r="C52" s="34">
        <v>3</v>
      </c>
      <c r="D52" s="34" t="s">
        <v>744</v>
      </c>
      <c r="E52" s="34" t="s">
        <v>636</v>
      </c>
      <c r="F52" s="34" t="s">
        <v>634</v>
      </c>
      <c r="G52" s="34" t="s">
        <v>42</v>
      </c>
      <c r="H52" s="34" t="s">
        <v>372</v>
      </c>
      <c r="I52" s="34" t="s">
        <v>635</v>
      </c>
      <c r="J52" s="34">
        <v>177</v>
      </c>
    </row>
    <row r="53" spans="1:10" x14ac:dyDescent="0.25">
      <c r="A53" s="34"/>
      <c r="B53" s="34" t="s">
        <v>644</v>
      </c>
      <c r="C53" s="34">
        <v>5</v>
      </c>
      <c r="D53" s="34" t="s">
        <v>714</v>
      </c>
      <c r="E53" t="s">
        <v>759</v>
      </c>
      <c r="F53" t="s">
        <v>224</v>
      </c>
      <c r="G53" t="s">
        <v>225</v>
      </c>
      <c r="H53" t="s">
        <v>681</v>
      </c>
      <c r="I53" t="s">
        <v>645</v>
      </c>
      <c r="J53">
        <v>177</v>
      </c>
    </row>
    <row r="54" spans="1:10" x14ac:dyDescent="0.25">
      <c r="A54" s="34"/>
      <c r="B54" s="34" t="s">
        <v>704</v>
      </c>
      <c r="C54" t="s">
        <v>848</v>
      </c>
      <c r="D54" t="s">
        <v>766</v>
      </c>
      <c r="E54" t="s">
        <v>756</v>
      </c>
      <c r="F54" t="s">
        <v>756</v>
      </c>
      <c r="G54" t="s">
        <v>756</v>
      </c>
      <c r="H54" t="s">
        <v>756</v>
      </c>
      <c r="I54" t="s">
        <v>756</v>
      </c>
      <c r="J54">
        <v>177</v>
      </c>
    </row>
    <row r="55" spans="1:10" x14ac:dyDescent="0.25">
      <c r="A55" s="34"/>
      <c r="B55" s="34" t="s">
        <v>585</v>
      </c>
      <c r="C55" s="34">
        <v>5</v>
      </c>
      <c r="D55" s="34" t="s">
        <v>714</v>
      </c>
      <c r="E55" s="34" t="s">
        <v>579</v>
      </c>
      <c r="F55" s="34" t="s">
        <v>226</v>
      </c>
      <c r="G55" s="34" t="s">
        <v>580</v>
      </c>
      <c r="H55" s="34" t="s">
        <v>581</v>
      </c>
      <c r="I55" s="34" t="s">
        <v>118</v>
      </c>
      <c r="J55" s="34">
        <v>200</v>
      </c>
    </row>
    <row r="56" spans="1:10" x14ac:dyDescent="0.25">
      <c r="A56" s="34"/>
      <c r="B56" s="34"/>
      <c r="C56" s="34"/>
      <c r="D56" s="34"/>
      <c r="E56" s="34" t="s">
        <v>525</v>
      </c>
      <c r="F56" s="34" t="s">
        <v>123</v>
      </c>
      <c r="G56" s="34" t="s">
        <v>592</v>
      </c>
      <c r="H56" s="34" t="s">
        <v>387</v>
      </c>
      <c r="I56" s="34" t="s">
        <v>557</v>
      </c>
      <c r="J56" s="34">
        <v>200</v>
      </c>
    </row>
    <row r="57" spans="1:10" x14ac:dyDescent="0.25">
      <c r="A57" s="34"/>
      <c r="B57" s="34"/>
      <c r="C57" s="34"/>
      <c r="D57" s="34"/>
      <c r="E57" s="34" t="s">
        <v>586</v>
      </c>
      <c r="F57" s="34" t="s">
        <v>181</v>
      </c>
      <c r="G57" s="34" t="s">
        <v>587</v>
      </c>
      <c r="H57" s="34" t="s">
        <v>581</v>
      </c>
      <c r="I57" s="34" t="s">
        <v>120</v>
      </c>
      <c r="J57" s="34">
        <v>200</v>
      </c>
    </row>
    <row r="58" spans="1:10" x14ac:dyDescent="0.25">
      <c r="A58" s="34"/>
      <c r="B58" t="s">
        <v>785</v>
      </c>
      <c r="C58" t="s">
        <v>848</v>
      </c>
      <c r="D58" t="s">
        <v>766</v>
      </c>
      <c r="E58" t="s">
        <v>756</v>
      </c>
      <c r="F58" t="s">
        <v>756</v>
      </c>
      <c r="G58" t="s">
        <v>92</v>
      </c>
      <c r="H58" t="s">
        <v>768</v>
      </c>
      <c r="I58" t="s">
        <v>756</v>
      </c>
      <c r="J58">
        <v>177</v>
      </c>
    </row>
    <row r="59" spans="1:10" x14ac:dyDescent="0.25">
      <c r="A59" s="34" t="s">
        <v>708</v>
      </c>
      <c r="B59" s="34" t="s">
        <v>709</v>
      </c>
      <c r="C59" t="s">
        <v>848</v>
      </c>
      <c r="D59" t="s">
        <v>766</v>
      </c>
      <c r="E59" t="s">
        <v>756</v>
      </c>
      <c r="F59" t="s">
        <v>756</v>
      </c>
      <c r="G59" t="s">
        <v>756</v>
      </c>
      <c r="H59" t="s">
        <v>756</v>
      </c>
      <c r="I59" t="s">
        <v>756</v>
      </c>
      <c r="J59" t="s">
        <v>782</v>
      </c>
    </row>
    <row r="60" spans="1:10" x14ac:dyDescent="0.25">
      <c r="A60" s="34"/>
      <c r="B60" s="34"/>
      <c r="D60">
        <v>1</v>
      </c>
      <c r="E60" t="s">
        <v>573</v>
      </c>
      <c r="F60" t="s">
        <v>20</v>
      </c>
      <c r="G60" t="s">
        <v>378</v>
      </c>
      <c r="H60" t="s">
        <v>398</v>
      </c>
      <c r="I60" t="s">
        <v>554</v>
      </c>
      <c r="J60" t="s">
        <v>756</v>
      </c>
    </row>
    <row r="61" spans="1:10" x14ac:dyDescent="0.25">
      <c r="A61" s="34"/>
      <c r="B61" s="34"/>
      <c r="C61" s="34">
        <v>1</v>
      </c>
      <c r="D61" s="34" t="s">
        <v>713</v>
      </c>
      <c r="E61" s="34" t="s">
        <v>554</v>
      </c>
      <c r="F61" s="34" t="s">
        <v>54</v>
      </c>
      <c r="G61" s="34" t="s">
        <v>386</v>
      </c>
      <c r="H61" s="34" t="s">
        <v>414</v>
      </c>
      <c r="I61" s="34" t="s">
        <v>564</v>
      </c>
      <c r="J61" s="34">
        <v>177</v>
      </c>
    </row>
    <row r="62" spans="1:10" x14ac:dyDescent="0.25">
      <c r="A62" s="34" t="s">
        <v>153</v>
      </c>
      <c r="B62" s="34" t="s">
        <v>663</v>
      </c>
      <c r="C62" t="s">
        <v>848</v>
      </c>
      <c r="D62" t="s">
        <v>766</v>
      </c>
      <c r="E62" t="s">
        <v>756</v>
      </c>
      <c r="F62" t="s">
        <v>756</v>
      </c>
      <c r="G62" t="s">
        <v>756</v>
      </c>
      <c r="H62" t="s">
        <v>756</v>
      </c>
      <c r="I62" t="s">
        <v>756</v>
      </c>
      <c r="J62">
        <v>200</v>
      </c>
    </row>
    <row r="63" spans="1:10" x14ac:dyDescent="0.25">
      <c r="A63" s="34" t="s">
        <v>756</v>
      </c>
      <c r="B63" t="s">
        <v>702</v>
      </c>
      <c r="C63" t="s">
        <v>848</v>
      </c>
      <c r="D63" t="s">
        <v>756</v>
      </c>
      <c r="E63" t="s">
        <v>675</v>
      </c>
      <c r="F63" t="s">
        <v>20</v>
      </c>
      <c r="G63" t="s">
        <v>69</v>
      </c>
      <c r="H63" t="s">
        <v>292</v>
      </c>
      <c r="I63" t="s">
        <v>833</v>
      </c>
      <c r="J63" t="s">
        <v>756</v>
      </c>
    </row>
    <row r="64" spans="1:10" x14ac:dyDescent="0.25">
      <c r="A64" s="34"/>
      <c r="B64" t="s">
        <v>88</v>
      </c>
      <c r="C64" t="s">
        <v>848</v>
      </c>
      <c r="D64" t="s">
        <v>756</v>
      </c>
      <c r="E64" t="s">
        <v>571</v>
      </c>
      <c r="F64" t="s">
        <v>20</v>
      </c>
      <c r="G64" t="s">
        <v>377</v>
      </c>
      <c r="H64" t="s">
        <v>415</v>
      </c>
      <c r="I64" t="s">
        <v>545</v>
      </c>
      <c r="J64" t="s">
        <v>756</v>
      </c>
    </row>
    <row r="65" spans="1:10" x14ac:dyDescent="0.25">
      <c r="A65" s="34"/>
      <c r="B65" t="s">
        <v>756</v>
      </c>
      <c r="C65" t="s">
        <v>756</v>
      </c>
      <c r="D65" t="s">
        <v>756</v>
      </c>
      <c r="E65" t="s">
        <v>756</v>
      </c>
      <c r="F65" t="s">
        <v>756</v>
      </c>
      <c r="G65" t="s">
        <v>756</v>
      </c>
      <c r="H65" t="s">
        <v>756</v>
      </c>
      <c r="I65" t="s">
        <v>756</v>
      </c>
      <c r="J65" t="s">
        <v>756</v>
      </c>
    </row>
    <row r="66" spans="1:10" x14ac:dyDescent="0.25">
      <c r="A66" s="34"/>
      <c r="C66" t="s">
        <v>848</v>
      </c>
      <c r="D66" t="s">
        <v>766</v>
      </c>
      <c r="E66" t="s">
        <v>756</v>
      </c>
      <c r="F66" t="s">
        <v>756</v>
      </c>
      <c r="G66" t="s">
        <v>756</v>
      </c>
      <c r="H66" t="s">
        <v>756</v>
      </c>
      <c r="I66" t="s">
        <v>756</v>
      </c>
      <c r="J66">
        <v>177</v>
      </c>
    </row>
    <row r="67" spans="1:10" x14ac:dyDescent="0.25">
      <c r="A67" s="34"/>
      <c r="D67" t="s">
        <v>756</v>
      </c>
      <c r="E67" t="s">
        <v>756</v>
      </c>
      <c r="F67" t="s">
        <v>756</v>
      </c>
      <c r="G67" t="s">
        <v>756</v>
      </c>
      <c r="H67" t="s">
        <v>756</v>
      </c>
      <c r="I67" t="s">
        <v>756</v>
      </c>
      <c r="J67" t="s">
        <v>756</v>
      </c>
    </row>
    <row r="68" spans="1:10" x14ac:dyDescent="0.25">
      <c r="A68" s="34"/>
      <c r="E68" t="s">
        <v>569</v>
      </c>
      <c r="F68" t="s">
        <v>756</v>
      </c>
      <c r="G68" t="s">
        <v>305</v>
      </c>
      <c r="H68" t="s">
        <v>403</v>
      </c>
      <c r="I68" t="s">
        <v>771</v>
      </c>
      <c r="J68" t="s">
        <v>756</v>
      </c>
    </row>
    <row r="69" spans="1:10" x14ac:dyDescent="0.25">
      <c r="A69" s="34"/>
      <c r="G69" t="s">
        <v>165</v>
      </c>
      <c r="H69" t="s">
        <v>285</v>
      </c>
      <c r="I69" t="s">
        <v>532</v>
      </c>
      <c r="J69" t="s">
        <v>756</v>
      </c>
    </row>
    <row r="70" spans="1:10" x14ac:dyDescent="0.25">
      <c r="A70" s="34"/>
      <c r="E70" t="s">
        <v>571</v>
      </c>
      <c r="F70" t="s">
        <v>756</v>
      </c>
      <c r="G70" t="s">
        <v>22</v>
      </c>
      <c r="H70" t="s">
        <v>726</v>
      </c>
      <c r="I70" t="s">
        <v>836</v>
      </c>
      <c r="J70" t="s">
        <v>756</v>
      </c>
    </row>
    <row r="71" spans="1:10" x14ac:dyDescent="0.25">
      <c r="A71" s="34"/>
      <c r="G71" t="s">
        <v>69</v>
      </c>
      <c r="H71" t="s">
        <v>372</v>
      </c>
      <c r="I71" t="s">
        <v>764</v>
      </c>
      <c r="J71" t="s">
        <v>756</v>
      </c>
    </row>
    <row r="72" spans="1:10" x14ac:dyDescent="0.25">
      <c r="A72" s="34"/>
      <c r="G72" t="s">
        <v>165</v>
      </c>
      <c r="H72" t="s">
        <v>416</v>
      </c>
      <c r="I72" t="s">
        <v>309</v>
      </c>
      <c r="J72" t="s">
        <v>756</v>
      </c>
    </row>
    <row r="73" spans="1:10" x14ac:dyDescent="0.25">
      <c r="A73" s="34"/>
      <c r="E73" t="s">
        <v>570</v>
      </c>
      <c r="F73" t="s">
        <v>756</v>
      </c>
      <c r="G73" t="s">
        <v>165</v>
      </c>
      <c r="H73" t="s">
        <v>581</v>
      </c>
      <c r="I73" t="s">
        <v>772</v>
      </c>
      <c r="J73" t="s">
        <v>756</v>
      </c>
    </row>
    <row r="74" spans="1:10" x14ac:dyDescent="0.25">
      <c r="A74" s="34"/>
      <c r="E74" t="s">
        <v>675</v>
      </c>
      <c r="F74" t="s">
        <v>756</v>
      </c>
      <c r="G74" t="s">
        <v>42</v>
      </c>
      <c r="H74" t="s">
        <v>739</v>
      </c>
      <c r="I74" t="s">
        <v>822</v>
      </c>
      <c r="J74" t="s">
        <v>756</v>
      </c>
    </row>
    <row r="75" spans="1:10" x14ac:dyDescent="0.25">
      <c r="A75" s="34"/>
      <c r="D75">
        <v>1</v>
      </c>
      <c r="E75" t="s">
        <v>756</v>
      </c>
      <c r="F75" t="s">
        <v>756</v>
      </c>
      <c r="G75" t="s">
        <v>92</v>
      </c>
      <c r="H75" t="s">
        <v>768</v>
      </c>
      <c r="I75" t="s">
        <v>756</v>
      </c>
      <c r="J75" t="s">
        <v>754</v>
      </c>
    </row>
    <row r="76" spans="1:10" x14ac:dyDescent="0.25">
      <c r="A76" t="s">
        <v>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9075-1F5A-4373-9E04-D1BDDD701AA6}">
  <dimension ref="A3:O78"/>
  <sheetViews>
    <sheetView topLeftCell="B1" zoomScale="85" zoomScaleNormal="85" workbookViewId="0">
      <selection activeCell="D47" sqref="D47"/>
      <pivotSelection pane="bottomRight" showHeader="1" extendable="1" axis="axisRow" dimension="3" start="42" min="42" max="43" activeRow="46" activeCol="3" previousRow="46" previousCol="3" click="1" r:id="rId1">
        <pivotArea dataOnly="0" outline="0" fieldPosition="0">
          <references count="1">
            <reference field="2" count="1">
              <x v="15"/>
            </reference>
          </references>
        </pivotArea>
      </pivotSelection>
    </sheetView>
  </sheetViews>
  <sheetFormatPr baseColWidth="10" defaultRowHeight="15" x14ac:dyDescent="0.25"/>
  <cols>
    <col min="1" max="1" width="5" hidden="1" customWidth="1"/>
    <col min="2" max="2" width="24.42578125" bestFit="1" customWidth="1"/>
    <col min="3" max="3" width="16.140625" bestFit="1" customWidth="1"/>
    <col min="4" max="4" width="15.5703125" bestFit="1" customWidth="1"/>
    <col min="5" max="5" width="17.5703125" bestFit="1" customWidth="1"/>
    <col min="6" max="6" width="17.5703125" style="37" bestFit="1" customWidth="1"/>
    <col min="7" max="7" width="21.5703125" style="35" bestFit="1" customWidth="1"/>
    <col min="8" max="8" width="11.5703125" style="35" bestFit="1" customWidth="1"/>
    <col min="9" max="11" width="13.28515625" style="35" bestFit="1" customWidth="1"/>
    <col min="12" max="14" width="13.28515625" bestFit="1" customWidth="1"/>
    <col min="15" max="15" width="12.5703125" bestFit="1" customWidth="1"/>
  </cols>
  <sheetData>
    <row r="3" spans="1:15" x14ac:dyDescent="0.25">
      <c r="A3" s="27" t="s">
        <v>755</v>
      </c>
      <c r="F3"/>
      <c r="G3"/>
      <c r="H3"/>
      <c r="I3" s="33" t="s">
        <v>8</v>
      </c>
      <c r="J3"/>
      <c r="K3"/>
    </row>
    <row r="4" spans="1:15" x14ac:dyDescent="0.25">
      <c r="A4" s="33" t="s">
        <v>749</v>
      </c>
      <c r="B4" s="33" t="s">
        <v>711</v>
      </c>
      <c r="C4" s="33" t="s">
        <v>1</v>
      </c>
      <c r="D4" s="33" t="s">
        <v>707</v>
      </c>
      <c r="E4" s="27" t="s">
        <v>19</v>
      </c>
      <c r="F4" s="36" t="s">
        <v>9</v>
      </c>
      <c r="G4" s="27" t="s">
        <v>674</v>
      </c>
      <c r="H4" s="27" t="s">
        <v>10</v>
      </c>
      <c r="I4">
        <v>177</v>
      </c>
      <c r="J4">
        <v>200</v>
      </c>
      <c r="K4" t="s">
        <v>782</v>
      </c>
      <c r="L4" t="s">
        <v>756</v>
      </c>
      <c r="M4" t="s">
        <v>713</v>
      </c>
      <c r="N4" t="s">
        <v>754</v>
      </c>
      <c r="O4" t="s">
        <v>701</v>
      </c>
    </row>
    <row r="5" spans="1:15" x14ac:dyDescent="0.25">
      <c r="A5" t="s">
        <v>756</v>
      </c>
      <c r="B5" t="s">
        <v>713</v>
      </c>
      <c r="C5" s="34" t="s">
        <v>100</v>
      </c>
      <c r="D5" s="34" t="s">
        <v>702</v>
      </c>
      <c r="E5" t="s">
        <v>40</v>
      </c>
      <c r="F5" t="s">
        <v>756</v>
      </c>
      <c r="G5">
        <v>7</v>
      </c>
      <c r="H5" t="s">
        <v>406</v>
      </c>
      <c r="I5" s="54"/>
      <c r="J5" s="54">
        <v>1</v>
      </c>
      <c r="K5" s="54"/>
      <c r="L5" s="54"/>
      <c r="M5" s="54"/>
      <c r="N5" s="54"/>
      <c r="O5" s="54">
        <v>1</v>
      </c>
    </row>
    <row r="6" spans="1:15" x14ac:dyDescent="0.25">
      <c r="B6" t="s">
        <v>754</v>
      </c>
      <c r="F6"/>
      <c r="G6"/>
      <c r="H6"/>
      <c r="I6" s="54"/>
      <c r="J6" s="54">
        <v>1</v>
      </c>
      <c r="K6" s="54"/>
      <c r="L6" s="54"/>
      <c r="M6" s="54"/>
      <c r="N6" s="54"/>
      <c r="O6" s="54">
        <v>1</v>
      </c>
    </row>
    <row r="7" spans="1:15" x14ac:dyDescent="0.25">
      <c r="B7" t="s">
        <v>756</v>
      </c>
      <c r="C7" s="34" t="s">
        <v>756</v>
      </c>
      <c r="D7" t="s">
        <v>756</v>
      </c>
      <c r="E7" t="s">
        <v>756</v>
      </c>
      <c r="F7" t="s">
        <v>756</v>
      </c>
      <c r="G7" t="s">
        <v>756</v>
      </c>
      <c r="H7" t="s">
        <v>756</v>
      </c>
      <c r="I7" s="54"/>
      <c r="J7" s="54"/>
      <c r="K7" s="54"/>
      <c r="L7" s="54"/>
      <c r="M7" s="54"/>
      <c r="N7" s="54"/>
      <c r="O7" s="54"/>
    </row>
    <row r="8" spans="1:15" x14ac:dyDescent="0.25">
      <c r="B8" t="s">
        <v>849</v>
      </c>
      <c r="F8"/>
      <c r="G8"/>
      <c r="H8"/>
      <c r="I8" s="54"/>
      <c r="J8" s="54"/>
      <c r="K8" s="54"/>
      <c r="L8" s="54"/>
      <c r="M8" s="54"/>
      <c r="N8" s="54"/>
      <c r="O8" s="54"/>
    </row>
    <row r="9" spans="1:15" x14ac:dyDescent="0.25">
      <c r="A9" t="s">
        <v>848</v>
      </c>
      <c r="B9" t="s">
        <v>766</v>
      </c>
      <c r="C9" s="34" t="s">
        <v>100</v>
      </c>
      <c r="D9" t="s">
        <v>706</v>
      </c>
      <c r="E9" t="s">
        <v>40</v>
      </c>
      <c r="F9" t="s">
        <v>570</v>
      </c>
      <c r="G9">
        <v>13</v>
      </c>
      <c r="H9" t="s">
        <v>406</v>
      </c>
      <c r="I9" s="54"/>
      <c r="J9" s="54"/>
      <c r="K9" s="54"/>
      <c r="L9" s="54"/>
      <c r="M9" s="54"/>
      <c r="N9" s="54"/>
      <c r="O9" s="54"/>
    </row>
    <row r="10" spans="1:15" x14ac:dyDescent="0.25">
      <c r="C10" s="34" t="s">
        <v>130</v>
      </c>
      <c r="D10" s="34" t="s">
        <v>599</v>
      </c>
      <c r="E10" t="s">
        <v>40</v>
      </c>
      <c r="F10" t="s">
        <v>845</v>
      </c>
      <c r="G10">
        <v>7</v>
      </c>
      <c r="H10" t="s">
        <v>406</v>
      </c>
      <c r="I10" s="54"/>
      <c r="J10" s="54">
        <v>1</v>
      </c>
      <c r="K10" s="54"/>
      <c r="L10" s="54"/>
      <c r="M10" s="54"/>
      <c r="N10" s="54"/>
      <c r="O10" s="54">
        <v>1</v>
      </c>
    </row>
    <row r="11" spans="1:15" x14ac:dyDescent="0.25">
      <c r="C11" s="34"/>
      <c r="D11" t="s">
        <v>702</v>
      </c>
      <c r="E11" t="s">
        <v>40</v>
      </c>
      <c r="F11" t="s">
        <v>570</v>
      </c>
      <c r="G11">
        <v>13</v>
      </c>
      <c r="H11" t="s">
        <v>406</v>
      </c>
      <c r="I11" s="54"/>
      <c r="J11" s="54"/>
      <c r="K11" s="54"/>
      <c r="L11" s="54"/>
      <c r="M11" s="54"/>
      <c r="N11" s="54"/>
      <c r="O11" s="54"/>
    </row>
    <row r="12" spans="1:15" x14ac:dyDescent="0.25">
      <c r="C12" s="34"/>
      <c r="F12" t="s">
        <v>845</v>
      </c>
      <c r="G12">
        <v>7</v>
      </c>
      <c r="H12" t="s">
        <v>406</v>
      </c>
      <c r="I12" s="54"/>
      <c r="J12" s="54">
        <v>1</v>
      </c>
      <c r="K12" s="54"/>
      <c r="L12" s="54"/>
      <c r="M12" s="54"/>
      <c r="N12" s="54"/>
      <c r="O12" s="54">
        <v>1</v>
      </c>
    </row>
    <row r="13" spans="1:15" x14ac:dyDescent="0.25">
      <c r="C13" s="34" t="s">
        <v>113</v>
      </c>
      <c r="D13" s="34" t="s">
        <v>642</v>
      </c>
      <c r="E13" t="s">
        <v>40</v>
      </c>
      <c r="F13" t="s">
        <v>845</v>
      </c>
      <c r="G13">
        <v>7</v>
      </c>
      <c r="H13" t="s">
        <v>406</v>
      </c>
      <c r="I13" s="54"/>
      <c r="J13" s="54">
        <v>1</v>
      </c>
      <c r="K13" s="54"/>
      <c r="L13" s="54"/>
      <c r="M13" s="54"/>
      <c r="N13" s="54"/>
      <c r="O13" s="54">
        <v>1</v>
      </c>
    </row>
    <row r="14" spans="1:15" x14ac:dyDescent="0.25">
      <c r="C14" s="34"/>
      <c r="D14" s="34" t="s">
        <v>704</v>
      </c>
      <c r="E14" t="s">
        <v>756</v>
      </c>
      <c r="F14" t="s">
        <v>570</v>
      </c>
      <c r="G14" t="s">
        <v>756</v>
      </c>
      <c r="H14" t="s">
        <v>756</v>
      </c>
      <c r="I14" s="54"/>
      <c r="J14" s="54"/>
      <c r="K14" s="54"/>
      <c r="L14" s="54"/>
      <c r="M14" s="54"/>
      <c r="N14" s="54"/>
      <c r="O14" s="54"/>
    </row>
    <row r="15" spans="1:15" x14ac:dyDescent="0.25">
      <c r="C15" s="34"/>
      <c r="D15" t="s">
        <v>785</v>
      </c>
      <c r="E15" t="s">
        <v>40</v>
      </c>
      <c r="F15" t="s">
        <v>570</v>
      </c>
      <c r="G15">
        <v>13</v>
      </c>
      <c r="H15" t="s">
        <v>406</v>
      </c>
      <c r="I15" s="54"/>
      <c r="J15" s="54"/>
      <c r="K15" s="54"/>
      <c r="L15" s="54"/>
      <c r="M15" s="54"/>
      <c r="N15" s="54"/>
      <c r="O15" s="54"/>
    </row>
    <row r="16" spans="1:15" x14ac:dyDescent="0.25">
      <c r="C16" s="34" t="s">
        <v>708</v>
      </c>
      <c r="D16" s="34" t="s">
        <v>709</v>
      </c>
      <c r="E16" t="s">
        <v>756</v>
      </c>
      <c r="F16" t="s">
        <v>570</v>
      </c>
      <c r="G16" t="s">
        <v>756</v>
      </c>
      <c r="H16" t="s">
        <v>756</v>
      </c>
      <c r="I16" s="54"/>
      <c r="J16" s="54"/>
      <c r="K16" s="54"/>
      <c r="L16" s="54"/>
      <c r="M16" s="54"/>
      <c r="N16" s="54"/>
      <c r="O16" s="54"/>
    </row>
    <row r="17" spans="2:15" x14ac:dyDescent="0.25">
      <c r="C17" s="34" t="s">
        <v>153</v>
      </c>
      <c r="D17" s="34" t="s">
        <v>663</v>
      </c>
      <c r="E17" t="s">
        <v>756</v>
      </c>
      <c r="F17" t="s">
        <v>570</v>
      </c>
      <c r="G17" t="s">
        <v>756</v>
      </c>
      <c r="H17" t="s">
        <v>756</v>
      </c>
      <c r="I17" s="54"/>
      <c r="J17" s="54"/>
      <c r="K17" s="54"/>
      <c r="L17" s="54"/>
      <c r="M17" s="54"/>
      <c r="N17" s="54"/>
      <c r="O17" s="54"/>
    </row>
    <row r="18" spans="2:15" x14ac:dyDescent="0.25">
      <c r="C18" s="34" t="s">
        <v>756</v>
      </c>
      <c r="D18" t="s">
        <v>756</v>
      </c>
      <c r="E18" t="s">
        <v>756</v>
      </c>
      <c r="F18" t="s">
        <v>570</v>
      </c>
      <c r="G18" t="s">
        <v>756</v>
      </c>
      <c r="H18" t="s">
        <v>756</v>
      </c>
      <c r="I18" s="54"/>
      <c r="J18" s="54"/>
      <c r="K18" s="54"/>
      <c r="L18" s="54"/>
      <c r="M18" s="54"/>
      <c r="N18" s="54"/>
      <c r="O18" s="54"/>
    </row>
    <row r="19" spans="2:15" x14ac:dyDescent="0.25">
      <c r="B19" t="s">
        <v>850</v>
      </c>
      <c r="F19"/>
      <c r="G19"/>
      <c r="H19"/>
      <c r="I19" s="54"/>
      <c r="J19" s="54">
        <v>3</v>
      </c>
      <c r="K19" s="54"/>
      <c r="L19" s="54"/>
      <c r="M19" s="54"/>
      <c r="N19" s="54"/>
      <c r="O19" s="54">
        <v>3</v>
      </c>
    </row>
    <row r="20" spans="2:15" x14ac:dyDescent="0.25">
      <c r="B20" t="s">
        <v>756</v>
      </c>
      <c r="C20" s="34" t="s">
        <v>183</v>
      </c>
      <c r="D20" s="34" t="s">
        <v>596</v>
      </c>
      <c r="E20" t="s">
        <v>40</v>
      </c>
      <c r="F20" t="s">
        <v>845</v>
      </c>
      <c r="G20">
        <v>7</v>
      </c>
      <c r="H20" t="s">
        <v>406</v>
      </c>
      <c r="I20" s="54"/>
      <c r="J20" s="54"/>
      <c r="K20" s="54"/>
      <c r="L20" s="54"/>
      <c r="M20" s="54">
        <v>1</v>
      </c>
      <c r="N20" s="54"/>
      <c r="O20" s="54">
        <v>1</v>
      </c>
    </row>
    <row r="21" spans="2:15" x14ac:dyDescent="0.25">
      <c r="C21" s="34" t="s">
        <v>100</v>
      </c>
      <c r="D21" s="34" t="s">
        <v>702</v>
      </c>
      <c r="E21" t="s">
        <v>40</v>
      </c>
      <c r="F21" t="s">
        <v>570</v>
      </c>
      <c r="G21">
        <v>13</v>
      </c>
      <c r="H21" t="s">
        <v>406</v>
      </c>
      <c r="I21" s="54"/>
      <c r="J21" s="54"/>
      <c r="K21" s="54"/>
      <c r="L21" s="54">
        <v>1</v>
      </c>
      <c r="M21" s="54"/>
      <c r="N21" s="54"/>
      <c r="O21" s="54">
        <v>1</v>
      </c>
    </row>
    <row r="22" spans="2:15" x14ac:dyDescent="0.25">
      <c r="C22" s="34" t="s">
        <v>130</v>
      </c>
      <c r="D22" s="34" t="s">
        <v>599</v>
      </c>
      <c r="E22" t="s">
        <v>40</v>
      </c>
      <c r="F22" t="s">
        <v>569</v>
      </c>
      <c r="G22">
        <v>8</v>
      </c>
      <c r="H22" t="s">
        <v>677</v>
      </c>
      <c r="I22" s="54"/>
      <c r="J22" s="54"/>
      <c r="K22" s="54"/>
      <c r="L22" s="54">
        <v>1</v>
      </c>
      <c r="M22" s="54"/>
      <c r="N22" s="54"/>
      <c r="O22" s="54">
        <v>1</v>
      </c>
    </row>
    <row r="23" spans="2:15" x14ac:dyDescent="0.25">
      <c r="C23" s="34"/>
      <c r="D23" s="34"/>
      <c r="E23" t="s">
        <v>756</v>
      </c>
      <c r="F23" t="s">
        <v>756</v>
      </c>
      <c r="G23" t="s">
        <v>756</v>
      </c>
      <c r="H23" t="s">
        <v>756</v>
      </c>
      <c r="I23" s="54"/>
      <c r="J23" s="54"/>
      <c r="K23" s="54"/>
      <c r="L23" s="54"/>
      <c r="M23" s="54"/>
      <c r="N23" s="54"/>
      <c r="O23" s="54"/>
    </row>
    <row r="24" spans="2:15" x14ac:dyDescent="0.25">
      <c r="C24" s="34" t="s">
        <v>73</v>
      </c>
      <c r="D24" s="34" t="s">
        <v>628</v>
      </c>
      <c r="E24" t="s">
        <v>20</v>
      </c>
      <c r="F24" t="s">
        <v>571</v>
      </c>
      <c r="G24">
        <v>7</v>
      </c>
      <c r="H24" t="s">
        <v>677</v>
      </c>
      <c r="I24" s="54"/>
      <c r="J24" s="54"/>
      <c r="K24" s="54"/>
      <c r="L24" s="54">
        <v>1</v>
      </c>
      <c r="M24" s="54"/>
      <c r="N24" s="54"/>
      <c r="O24" s="54">
        <v>1</v>
      </c>
    </row>
    <row r="25" spans="2:15" x14ac:dyDescent="0.25">
      <c r="C25" s="34" t="s">
        <v>756</v>
      </c>
      <c r="D25" t="s">
        <v>702</v>
      </c>
      <c r="E25" t="s">
        <v>20</v>
      </c>
      <c r="F25" t="s">
        <v>569</v>
      </c>
      <c r="G25">
        <v>11</v>
      </c>
      <c r="H25" t="s">
        <v>406</v>
      </c>
      <c r="I25" s="54"/>
      <c r="J25" s="54"/>
      <c r="K25" s="54"/>
      <c r="L25" s="54">
        <v>1</v>
      </c>
      <c r="M25" s="54"/>
      <c r="N25" s="54"/>
      <c r="O25" s="54">
        <v>1</v>
      </c>
    </row>
    <row r="26" spans="2:15" x14ac:dyDescent="0.25">
      <c r="C26" s="34"/>
      <c r="D26" t="s">
        <v>88</v>
      </c>
      <c r="E26" t="s">
        <v>20</v>
      </c>
      <c r="F26" t="s">
        <v>569</v>
      </c>
      <c r="G26">
        <v>3</v>
      </c>
      <c r="H26" t="s">
        <v>678</v>
      </c>
      <c r="I26" s="54"/>
      <c r="J26" s="54"/>
      <c r="K26" s="54"/>
      <c r="L26" s="54">
        <v>1</v>
      </c>
      <c r="M26" s="54"/>
      <c r="N26" s="54"/>
      <c r="O26" s="54">
        <v>1</v>
      </c>
    </row>
    <row r="27" spans="2:15" x14ac:dyDescent="0.25">
      <c r="C27" s="34"/>
      <c r="D27" t="s">
        <v>756</v>
      </c>
      <c r="E27" t="s">
        <v>20</v>
      </c>
      <c r="F27" t="s">
        <v>569</v>
      </c>
      <c r="G27">
        <v>10</v>
      </c>
      <c r="H27" t="s">
        <v>677</v>
      </c>
      <c r="I27" s="54"/>
      <c r="J27" s="54"/>
      <c r="K27" s="54"/>
      <c r="L27" s="54"/>
      <c r="M27" s="54"/>
      <c r="N27" s="54"/>
      <c r="O27" s="54"/>
    </row>
    <row r="28" spans="2:15" x14ac:dyDescent="0.25">
      <c r="C28" s="34"/>
      <c r="F28"/>
      <c r="G28">
        <v>11</v>
      </c>
      <c r="H28" t="s">
        <v>677</v>
      </c>
      <c r="I28" s="54"/>
      <c r="J28" s="54"/>
      <c r="K28" s="54"/>
      <c r="L28" s="54"/>
      <c r="M28" s="54"/>
      <c r="N28" s="54"/>
      <c r="O28" s="54"/>
    </row>
    <row r="29" spans="2:15" x14ac:dyDescent="0.25">
      <c r="C29" s="34"/>
      <c r="F29" t="s">
        <v>570</v>
      </c>
      <c r="G29">
        <v>11</v>
      </c>
      <c r="H29" t="s">
        <v>406</v>
      </c>
      <c r="I29" s="54"/>
      <c r="J29" s="54"/>
      <c r="K29" s="54"/>
      <c r="L29" s="54"/>
      <c r="M29" s="54"/>
      <c r="N29" s="54"/>
      <c r="O29" s="54"/>
    </row>
    <row r="30" spans="2:15" x14ac:dyDescent="0.25">
      <c r="C30" s="34"/>
      <c r="E30" t="s">
        <v>40</v>
      </c>
      <c r="F30" t="s">
        <v>569</v>
      </c>
      <c r="G30">
        <v>12</v>
      </c>
      <c r="H30" t="s">
        <v>677</v>
      </c>
      <c r="I30" s="54"/>
      <c r="J30" s="54"/>
      <c r="K30" s="54"/>
      <c r="L30" s="54"/>
      <c r="M30" s="54"/>
      <c r="N30" s="54"/>
      <c r="O30" s="54"/>
    </row>
    <row r="31" spans="2:15" x14ac:dyDescent="0.25">
      <c r="C31" s="34"/>
      <c r="E31" t="s">
        <v>756</v>
      </c>
      <c r="F31" t="s">
        <v>756</v>
      </c>
      <c r="G31" t="s">
        <v>756</v>
      </c>
      <c r="H31" t="s">
        <v>756</v>
      </c>
      <c r="I31" s="54"/>
      <c r="J31" s="54"/>
      <c r="K31" s="54"/>
      <c r="L31" s="54"/>
      <c r="M31" s="54"/>
      <c r="N31" s="54"/>
      <c r="O31" s="54"/>
    </row>
    <row r="32" spans="2:15" x14ac:dyDescent="0.25">
      <c r="B32" t="s">
        <v>849</v>
      </c>
      <c r="F32"/>
      <c r="G32"/>
      <c r="H32"/>
      <c r="I32" s="54"/>
      <c r="J32" s="54"/>
      <c r="K32" s="54"/>
      <c r="L32" s="54">
        <v>5</v>
      </c>
      <c r="M32" s="54">
        <v>1</v>
      </c>
      <c r="N32" s="54"/>
      <c r="O32" s="54">
        <v>6</v>
      </c>
    </row>
    <row r="33" spans="1:15" x14ac:dyDescent="0.25">
      <c r="B33">
        <v>1</v>
      </c>
      <c r="C33" s="34" t="s">
        <v>708</v>
      </c>
      <c r="D33" s="34" t="s">
        <v>709</v>
      </c>
      <c r="E33" t="s">
        <v>20</v>
      </c>
      <c r="F33" t="s">
        <v>570</v>
      </c>
      <c r="G33">
        <v>4</v>
      </c>
      <c r="H33" t="s">
        <v>677</v>
      </c>
      <c r="I33" s="54"/>
      <c r="J33" s="54"/>
      <c r="K33" s="54"/>
      <c r="L33" s="54">
        <v>1</v>
      </c>
      <c r="M33" s="54"/>
      <c r="N33" s="54"/>
      <c r="O33" s="54">
        <v>1</v>
      </c>
    </row>
    <row r="34" spans="1:15" x14ac:dyDescent="0.25">
      <c r="C34" s="34" t="s">
        <v>756</v>
      </c>
      <c r="D34" t="s">
        <v>756</v>
      </c>
      <c r="E34" t="s">
        <v>40</v>
      </c>
      <c r="F34" t="s">
        <v>570</v>
      </c>
      <c r="G34">
        <v>13</v>
      </c>
      <c r="H34" t="s">
        <v>406</v>
      </c>
      <c r="I34" s="54"/>
      <c r="J34" s="54"/>
      <c r="K34" s="54"/>
      <c r="L34" s="54"/>
      <c r="M34" s="54"/>
      <c r="N34" s="54"/>
      <c r="O34" s="54"/>
    </row>
    <row r="35" spans="1:15" x14ac:dyDescent="0.25">
      <c r="B35" t="s">
        <v>851</v>
      </c>
      <c r="F35"/>
      <c r="G35"/>
      <c r="H35"/>
      <c r="I35" s="54"/>
      <c r="J35" s="54"/>
      <c r="K35" s="54"/>
      <c r="L35" s="54">
        <v>1</v>
      </c>
      <c r="M35" s="54"/>
      <c r="N35" s="54"/>
      <c r="O35" s="54">
        <v>1</v>
      </c>
    </row>
    <row r="36" spans="1:15" x14ac:dyDescent="0.25">
      <c r="A36">
        <v>5</v>
      </c>
      <c r="B36" s="4" t="s">
        <v>714</v>
      </c>
      <c r="C36" s="39" t="s">
        <v>167</v>
      </c>
      <c r="D36" s="39" t="s">
        <v>650</v>
      </c>
      <c r="E36" s="41" t="s">
        <v>20</v>
      </c>
      <c r="F36" s="40" t="s">
        <v>569</v>
      </c>
      <c r="G36" s="4">
        <v>11</v>
      </c>
      <c r="H36" s="4" t="s">
        <v>406</v>
      </c>
      <c r="I36" s="53">
        <v>1</v>
      </c>
      <c r="J36" s="53"/>
      <c r="K36" s="53"/>
      <c r="L36" s="53"/>
      <c r="M36" s="53"/>
      <c r="N36" s="53"/>
      <c r="O36" s="53">
        <v>1</v>
      </c>
    </row>
    <row r="37" spans="1:15" x14ac:dyDescent="0.25">
      <c r="B37" s="4"/>
      <c r="C37" s="39"/>
      <c r="D37" s="39"/>
      <c r="E37" s="28" t="s">
        <v>40</v>
      </c>
      <c r="F37" s="40" t="s">
        <v>570</v>
      </c>
      <c r="G37" s="4">
        <v>12</v>
      </c>
      <c r="H37" s="4" t="s">
        <v>406</v>
      </c>
      <c r="I37" s="53">
        <v>1</v>
      </c>
      <c r="J37" s="53"/>
      <c r="K37" s="53"/>
      <c r="L37" s="53"/>
      <c r="M37" s="53"/>
      <c r="N37" s="53"/>
      <c r="O37" s="53">
        <v>1</v>
      </c>
    </row>
    <row r="38" spans="1:15" x14ac:dyDescent="0.25">
      <c r="B38" s="4"/>
      <c r="C38" s="39" t="s">
        <v>183</v>
      </c>
      <c r="D38" s="39" t="s">
        <v>596</v>
      </c>
      <c r="E38" s="41" t="s">
        <v>20</v>
      </c>
      <c r="F38" s="37" t="s">
        <v>570</v>
      </c>
      <c r="G38" s="4">
        <v>11</v>
      </c>
      <c r="H38" s="4" t="s">
        <v>406</v>
      </c>
      <c r="I38" s="53"/>
      <c r="J38" s="53">
        <v>2</v>
      </c>
      <c r="K38" s="53"/>
      <c r="L38" s="53"/>
      <c r="M38" s="53"/>
      <c r="N38" s="53"/>
      <c r="O38" s="53">
        <v>2</v>
      </c>
    </row>
    <row r="39" spans="1:15" x14ac:dyDescent="0.25">
      <c r="B39" s="4"/>
      <c r="C39" s="39"/>
      <c r="D39" s="39"/>
      <c r="E39" s="28" t="s">
        <v>40</v>
      </c>
      <c r="F39" s="37" t="s">
        <v>570</v>
      </c>
      <c r="G39" s="4">
        <v>12</v>
      </c>
      <c r="H39" s="4" t="s">
        <v>406</v>
      </c>
      <c r="I39" s="53"/>
      <c r="J39" s="53">
        <v>1</v>
      </c>
      <c r="K39" s="53"/>
      <c r="L39" s="53"/>
      <c r="M39" s="53"/>
      <c r="N39" s="53"/>
      <c r="O39" s="53">
        <v>1</v>
      </c>
    </row>
    <row r="40" spans="1:15" x14ac:dyDescent="0.25">
      <c r="B40" s="4"/>
      <c r="C40" s="39" t="s">
        <v>100</v>
      </c>
      <c r="D40" s="39" t="s">
        <v>703</v>
      </c>
      <c r="E40" s="42" t="s">
        <v>20</v>
      </c>
      <c r="F40" s="40" t="s">
        <v>569</v>
      </c>
      <c r="G40" s="4">
        <v>11</v>
      </c>
      <c r="H40" s="4" t="s">
        <v>406</v>
      </c>
      <c r="I40" s="53">
        <v>1</v>
      </c>
      <c r="J40" s="53"/>
      <c r="K40" s="53"/>
      <c r="L40" s="53"/>
      <c r="M40" s="53"/>
      <c r="N40" s="53"/>
      <c r="O40" s="53">
        <v>1</v>
      </c>
    </row>
    <row r="41" spans="1:15" x14ac:dyDescent="0.25">
      <c r="B41" s="4"/>
      <c r="C41" s="39" t="s">
        <v>113</v>
      </c>
      <c r="D41" s="39" t="s">
        <v>642</v>
      </c>
      <c r="E41" t="s">
        <v>20</v>
      </c>
      <c r="F41" s="37" t="s">
        <v>569</v>
      </c>
      <c r="G41">
        <v>11</v>
      </c>
      <c r="H41" s="4" t="s">
        <v>406</v>
      </c>
      <c r="I41" s="53">
        <v>2</v>
      </c>
      <c r="J41" s="53"/>
      <c r="K41" s="53"/>
      <c r="L41" s="53"/>
      <c r="M41" s="53"/>
      <c r="N41" s="53"/>
      <c r="O41" s="53">
        <v>2</v>
      </c>
    </row>
    <row r="42" spans="1:15" x14ac:dyDescent="0.25">
      <c r="B42" s="4"/>
      <c r="C42" s="39"/>
      <c r="D42" s="39" t="s">
        <v>644</v>
      </c>
      <c r="E42" s="42" t="s">
        <v>40</v>
      </c>
      <c r="F42" s="40" t="s">
        <v>570</v>
      </c>
      <c r="G42" s="4">
        <v>7</v>
      </c>
      <c r="H42" s="4" t="s">
        <v>406</v>
      </c>
      <c r="I42" s="53">
        <v>1</v>
      </c>
      <c r="J42" s="53"/>
      <c r="K42" s="53"/>
      <c r="L42" s="53"/>
      <c r="M42" s="53"/>
      <c r="N42" s="53"/>
      <c r="O42" s="53">
        <v>1</v>
      </c>
    </row>
    <row r="43" spans="1:15" x14ac:dyDescent="0.25">
      <c r="B43" s="4"/>
      <c r="C43" s="39"/>
      <c r="D43" s="39" t="s">
        <v>585</v>
      </c>
      <c r="E43" s="41" t="s">
        <v>20</v>
      </c>
      <c r="F43" s="40" t="s">
        <v>569</v>
      </c>
      <c r="G43" s="4">
        <v>11</v>
      </c>
      <c r="H43" s="4" t="s">
        <v>406</v>
      </c>
      <c r="I43" s="53"/>
      <c r="J43" s="53">
        <v>1</v>
      </c>
      <c r="K43" s="53"/>
      <c r="L43" s="53"/>
      <c r="M43" s="53"/>
      <c r="N43" s="53"/>
      <c r="O43" s="53">
        <v>1</v>
      </c>
    </row>
    <row r="44" spans="1:15" x14ac:dyDescent="0.25">
      <c r="B44" s="4"/>
      <c r="C44" s="39"/>
      <c r="D44" s="39"/>
      <c r="E44" s="59" t="s">
        <v>40</v>
      </c>
      <c r="F44" s="40" t="s">
        <v>569</v>
      </c>
      <c r="G44" s="4">
        <v>10</v>
      </c>
      <c r="H44" s="4" t="s">
        <v>406</v>
      </c>
      <c r="I44" s="53"/>
      <c r="J44" s="53">
        <v>1</v>
      </c>
      <c r="K44" s="53"/>
      <c r="L44" s="53"/>
      <c r="M44" s="53"/>
      <c r="N44" s="53"/>
      <c r="O44" s="53">
        <v>1</v>
      </c>
    </row>
    <row r="45" spans="1:15" x14ac:dyDescent="0.25">
      <c r="B45" s="4"/>
      <c r="C45" s="39"/>
      <c r="D45" s="39"/>
      <c r="E45" s="28"/>
      <c r="F45" s="40" t="s">
        <v>570</v>
      </c>
      <c r="G45" s="4">
        <v>12</v>
      </c>
      <c r="H45" s="4" t="s">
        <v>406</v>
      </c>
      <c r="I45" s="53"/>
      <c r="J45" s="53">
        <v>1</v>
      </c>
      <c r="K45" s="53"/>
      <c r="L45" s="53"/>
      <c r="M45" s="53"/>
      <c r="N45" s="53"/>
      <c r="O45" s="53">
        <v>1</v>
      </c>
    </row>
    <row r="46" spans="1:15" x14ac:dyDescent="0.25">
      <c r="B46" s="38" t="s">
        <v>750</v>
      </c>
      <c r="C46" s="38"/>
      <c r="D46" s="38"/>
      <c r="E46" s="38"/>
      <c r="F46" s="38"/>
      <c r="G46" s="38"/>
      <c r="H46" s="38"/>
      <c r="I46" s="54">
        <v>6</v>
      </c>
      <c r="J46" s="54">
        <v>6</v>
      </c>
      <c r="K46" s="54"/>
      <c r="L46" s="54"/>
      <c r="M46" s="54"/>
      <c r="N46" s="54"/>
      <c r="O46" s="54">
        <v>12</v>
      </c>
    </row>
    <row r="47" spans="1:15" x14ac:dyDescent="0.25">
      <c r="A47">
        <v>4</v>
      </c>
      <c r="B47" s="4" t="s">
        <v>745</v>
      </c>
      <c r="C47" s="39" t="s">
        <v>183</v>
      </c>
      <c r="D47" s="39" t="s">
        <v>624</v>
      </c>
      <c r="E47" s="42" t="s">
        <v>20</v>
      </c>
      <c r="F47" s="40" t="s">
        <v>570</v>
      </c>
      <c r="G47" s="4">
        <v>11</v>
      </c>
      <c r="H47" s="4" t="s">
        <v>406</v>
      </c>
      <c r="I47" s="53"/>
      <c r="J47" s="53">
        <v>1</v>
      </c>
      <c r="K47" s="53"/>
      <c r="L47" s="53"/>
      <c r="M47" s="53"/>
      <c r="N47" s="53"/>
      <c r="O47" s="53">
        <v>1</v>
      </c>
    </row>
    <row r="48" spans="1:15" x14ac:dyDescent="0.25">
      <c r="B48" s="37" t="s">
        <v>751</v>
      </c>
      <c r="C48" s="37"/>
      <c r="D48" s="37"/>
      <c r="E48" s="37"/>
      <c r="G48" s="37"/>
      <c r="H48" s="37"/>
      <c r="I48" s="54"/>
      <c r="J48" s="54">
        <v>1</v>
      </c>
      <c r="K48" s="54"/>
      <c r="L48" s="54"/>
      <c r="M48" s="54"/>
      <c r="N48" s="54"/>
      <c r="O48" s="54">
        <v>1</v>
      </c>
    </row>
    <row r="49" spans="1:15" x14ac:dyDescent="0.25">
      <c r="A49">
        <v>3</v>
      </c>
      <c r="B49" s="4" t="s">
        <v>744</v>
      </c>
      <c r="C49" s="39" t="s">
        <v>167</v>
      </c>
      <c r="D49" s="39" t="s">
        <v>650</v>
      </c>
      <c r="E49" s="42" t="s">
        <v>20</v>
      </c>
      <c r="F49" s="40" t="s">
        <v>569</v>
      </c>
      <c r="G49" s="4">
        <v>11</v>
      </c>
      <c r="H49" s="4" t="s">
        <v>677</v>
      </c>
      <c r="I49" s="53">
        <v>1</v>
      </c>
      <c r="J49" s="53"/>
      <c r="K49" s="53"/>
      <c r="L49" s="53"/>
      <c r="M49" s="53"/>
      <c r="N49" s="53"/>
      <c r="O49" s="53">
        <v>1</v>
      </c>
    </row>
    <row r="50" spans="1:15" x14ac:dyDescent="0.25">
      <c r="B50" s="4"/>
      <c r="C50" s="39" t="s">
        <v>183</v>
      </c>
      <c r="D50" s="39" t="s">
        <v>596</v>
      </c>
      <c r="E50" t="s">
        <v>20</v>
      </c>
      <c r="F50" s="37" t="s">
        <v>569</v>
      </c>
      <c r="G50" s="4">
        <v>10</v>
      </c>
      <c r="H50" s="4" t="s">
        <v>677</v>
      </c>
      <c r="I50" s="53"/>
      <c r="J50" s="53">
        <v>1</v>
      </c>
      <c r="K50" s="53"/>
      <c r="L50" s="53"/>
      <c r="M50" s="53"/>
      <c r="N50" s="53"/>
      <c r="O50" s="53">
        <v>1</v>
      </c>
    </row>
    <row r="51" spans="1:15" x14ac:dyDescent="0.25">
      <c r="B51" s="4"/>
      <c r="C51" s="39" t="s">
        <v>100</v>
      </c>
      <c r="D51" s="39" t="s">
        <v>702</v>
      </c>
      <c r="E51" t="s">
        <v>20</v>
      </c>
      <c r="F51" s="37" t="s">
        <v>569</v>
      </c>
      <c r="G51" s="4">
        <v>11</v>
      </c>
      <c r="H51" s="4" t="s">
        <v>677</v>
      </c>
      <c r="I51" s="53"/>
      <c r="J51" s="53">
        <v>1</v>
      </c>
      <c r="K51" s="53"/>
      <c r="L51" s="53"/>
      <c r="M51" s="53"/>
      <c r="N51" s="53"/>
      <c r="O51" s="53">
        <v>1</v>
      </c>
    </row>
    <row r="52" spans="1:15" x14ac:dyDescent="0.25">
      <c r="B52" s="4"/>
      <c r="C52" s="39" t="s">
        <v>130</v>
      </c>
      <c r="D52" s="39" t="s">
        <v>599</v>
      </c>
      <c r="E52" t="s">
        <v>20</v>
      </c>
      <c r="F52" s="37" t="s">
        <v>569</v>
      </c>
      <c r="G52">
        <v>11</v>
      </c>
      <c r="H52" s="4" t="s">
        <v>677</v>
      </c>
      <c r="I52" s="53"/>
      <c r="J52" s="53">
        <v>1</v>
      </c>
      <c r="K52" s="53"/>
      <c r="L52" s="53"/>
      <c r="M52" s="53"/>
      <c r="N52" s="53"/>
      <c r="O52" s="53">
        <v>1</v>
      </c>
    </row>
    <row r="53" spans="1:15" x14ac:dyDescent="0.25">
      <c r="B53" s="4"/>
      <c r="C53" s="39"/>
      <c r="D53" t="s">
        <v>702</v>
      </c>
      <c r="E53" t="s">
        <v>20</v>
      </c>
      <c r="F53" t="s">
        <v>569</v>
      </c>
      <c r="G53">
        <v>9</v>
      </c>
      <c r="H53" t="s">
        <v>677</v>
      </c>
      <c r="I53" s="53"/>
      <c r="J53" s="53">
        <v>1</v>
      </c>
      <c r="K53" s="53"/>
      <c r="L53" s="53"/>
      <c r="M53" s="53"/>
      <c r="N53" s="53"/>
      <c r="O53" s="53">
        <v>1</v>
      </c>
    </row>
    <row r="54" spans="1:15" x14ac:dyDescent="0.25">
      <c r="B54" s="4"/>
      <c r="C54" s="39" t="s">
        <v>73</v>
      </c>
      <c r="D54" s="39" t="s">
        <v>628</v>
      </c>
      <c r="E54" t="s">
        <v>20</v>
      </c>
      <c r="F54" s="37" t="s">
        <v>569</v>
      </c>
      <c r="G54" s="4">
        <v>11</v>
      </c>
      <c r="H54" s="4" t="s">
        <v>677</v>
      </c>
      <c r="I54" s="53"/>
      <c r="J54" s="53">
        <v>1</v>
      </c>
      <c r="K54" s="53"/>
      <c r="L54" s="53"/>
      <c r="M54" s="53"/>
      <c r="N54" s="53"/>
      <c r="O54" s="53">
        <v>1</v>
      </c>
    </row>
    <row r="55" spans="1:15" x14ac:dyDescent="0.25">
      <c r="B55" s="4"/>
      <c r="C55" s="39" t="s">
        <v>113</v>
      </c>
      <c r="D55" s="39" t="s">
        <v>642</v>
      </c>
      <c r="E55" s="42" t="s">
        <v>40</v>
      </c>
      <c r="F55" s="37" t="s">
        <v>569</v>
      </c>
      <c r="G55" s="4">
        <v>12</v>
      </c>
      <c r="H55" s="4" t="s">
        <v>677</v>
      </c>
      <c r="I55" s="53">
        <v>1</v>
      </c>
      <c r="J55" s="53"/>
      <c r="K55" s="53"/>
      <c r="L55" s="53"/>
      <c r="M55" s="53"/>
      <c r="N55" s="53"/>
      <c r="O55" s="53">
        <v>1</v>
      </c>
    </row>
    <row r="56" spans="1:15" x14ac:dyDescent="0.25">
      <c r="B56" s="37" t="s">
        <v>752</v>
      </c>
      <c r="C56" s="37"/>
      <c r="D56" s="37"/>
      <c r="E56" s="37"/>
      <c r="G56" s="37"/>
      <c r="H56" s="37"/>
      <c r="I56" s="54">
        <v>2</v>
      </c>
      <c r="J56" s="54">
        <v>5</v>
      </c>
      <c r="K56" s="54"/>
      <c r="L56" s="54"/>
      <c r="M56" s="54"/>
      <c r="N56" s="54"/>
      <c r="O56" s="54">
        <v>7</v>
      </c>
    </row>
    <row r="57" spans="1:15" x14ac:dyDescent="0.25">
      <c r="A57">
        <v>2</v>
      </c>
      <c r="B57" s="4" t="s">
        <v>715</v>
      </c>
      <c r="C57" s="39" t="s">
        <v>183</v>
      </c>
      <c r="D57" s="39" t="s">
        <v>596</v>
      </c>
      <c r="E57" s="41" t="s">
        <v>20</v>
      </c>
      <c r="F57" s="40" t="s">
        <v>571</v>
      </c>
      <c r="G57" s="4">
        <v>7</v>
      </c>
      <c r="H57" s="4" t="s">
        <v>677</v>
      </c>
      <c r="I57" s="53"/>
      <c r="J57" s="53">
        <v>1</v>
      </c>
      <c r="K57" s="53"/>
      <c r="L57" s="53"/>
      <c r="M57" s="53"/>
      <c r="N57" s="53"/>
      <c r="O57" s="53">
        <v>1</v>
      </c>
    </row>
    <row r="58" spans="1:15" x14ac:dyDescent="0.25">
      <c r="B58" s="4"/>
      <c r="C58" s="39"/>
      <c r="D58" s="39"/>
      <c r="E58" s="59"/>
      <c r="F58" s="40" t="s">
        <v>569</v>
      </c>
      <c r="G58" s="4">
        <v>6</v>
      </c>
      <c r="H58" s="4" t="s">
        <v>677</v>
      </c>
      <c r="I58" s="53"/>
      <c r="J58" s="53">
        <v>2</v>
      </c>
      <c r="K58" s="53"/>
      <c r="L58" s="53"/>
      <c r="M58" s="53"/>
      <c r="N58" s="53"/>
      <c r="O58" s="53">
        <v>2</v>
      </c>
    </row>
    <row r="59" spans="1:15" x14ac:dyDescent="0.25">
      <c r="B59" s="4"/>
      <c r="C59" s="39"/>
      <c r="D59" s="39"/>
      <c r="E59" s="59"/>
      <c r="F59" s="40" t="s">
        <v>570</v>
      </c>
      <c r="G59" s="4">
        <v>4</v>
      </c>
      <c r="H59" s="4" t="s">
        <v>677</v>
      </c>
      <c r="I59" s="53"/>
      <c r="J59" s="53">
        <v>1</v>
      </c>
      <c r="K59" s="53"/>
      <c r="L59" s="53"/>
      <c r="M59" s="53"/>
      <c r="N59" s="53"/>
      <c r="O59" s="53">
        <v>1</v>
      </c>
    </row>
    <row r="60" spans="1:15" x14ac:dyDescent="0.25">
      <c r="B60" s="4"/>
      <c r="C60" s="39"/>
      <c r="D60" s="39"/>
      <c r="E60" s="59"/>
      <c r="F60" s="40" t="s">
        <v>675</v>
      </c>
      <c r="G60" s="4">
        <v>5</v>
      </c>
      <c r="H60" s="4" t="s">
        <v>677</v>
      </c>
      <c r="I60" s="53"/>
      <c r="J60" s="53">
        <v>1</v>
      </c>
      <c r="K60" s="53"/>
      <c r="L60" s="53"/>
      <c r="M60" s="53"/>
      <c r="N60" s="53"/>
      <c r="O60" s="53">
        <v>1</v>
      </c>
    </row>
    <row r="61" spans="1:15" x14ac:dyDescent="0.25">
      <c r="B61" s="4"/>
      <c r="C61" s="39"/>
      <c r="D61" s="39"/>
      <c r="E61" s="59" t="s">
        <v>40</v>
      </c>
      <c r="F61" s="40" t="s">
        <v>569</v>
      </c>
      <c r="G61" s="4">
        <v>8</v>
      </c>
      <c r="H61" s="4" t="s">
        <v>679</v>
      </c>
      <c r="I61" s="53"/>
      <c r="J61" s="53">
        <v>1</v>
      </c>
      <c r="K61" s="53"/>
      <c r="L61" s="53"/>
      <c r="M61" s="53"/>
      <c r="N61" s="53"/>
      <c r="O61" s="53">
        <v>1</v>
      </c>
    </row>
    <row r="62" spans="1:15" x14ac:dyDescent="0.25">
      <c r="B62" s="4"/>
      <c r="C62" s="39"/>
      <c r="D62" s="39"/>
      <c r="E62" s="28" t="s">
        <v>214</v>
      </c>
      <c r="F62" s="40" t="s">
        <v>571</v>
      </c>
      <c r="G62" s="4">
        <v>7</v>
      </c>
      <c r="H62" s="4" t="s">
        <v>677</v>
      </c>
      <c r="I62" s="53"/>
      <c r="J62" s="53">
        <v>2</v>
      </c>
      <c r="K62" s="53"/>
      <c r="L62" s="53"/>
      <c r="M62" s="53"/>
      <c r="N62" s="53"/>
      <c r="O62" s="53">
        <v>2</v>
      </c>
    </row>
    <row r="63" spans="1:15" x14ac:dyDescent="0.25">
      <c r="B63" s="4"/>
      <c r="C63" s="39" t="s">
        <v>100</v>
      </c>
      <c r="D63" s="39" t="s">
        <v>703</v>
      </c>
      <c r="E63" s="42" t="s">
        <v>20</v>
      </c>
      <c r="F63" s="47" t="s">
        <v>675</v>
      </c>
      <c r="G63" s="42">
        <v>5</v>
      </c>
      <c r="H63" s="4" t="s">
        <v>677</v>
      </c>
      <c r="I63" s="53">
        <v>1</v>
      </c>
      <c r="J63" s="53"/>
      <c r="K63" s="53"/>
      <c r="L63" s="53"/>
      <c r="M63" s="53"/>
      <c r="N63" s="53"/>
      <c r="O63" s="53">
        <v>1</v>
      </c>
    </row>
    <row r="64" spans="1:15" x14ac:dyDescent="0.25">
      <c r="B64" s="4"/>
      <c r="C64" s="39" t="s">
        <v>130</v>
      </c>
      <c r="D64" s="39" t="s">
        <v>599</v>
      </c>
      <c r="E64" t="s">
        <v>20</v>
      </c>
      <c r="F64" s="40" t="s">
        <v>571</v>
      </c>
      <c r="G64" s="4">
        <v>7</v>
      </c>
      <c r="H64" s="4" t="s">
        <v>677</v>
      </c>
      <c r="I64" s="53"/>
      <c r="J64" s="53">
        <v>1</v>
      </c>
      <c r="K64" s="53"/>
      <c r="L64" s="53"/>
      <c r="M64" s="53"/>
      <c r="N64" s="53"/>
      <c r="O64" s="53">
        <v>1</v>
      </c>
    </row>
    <row r="65" spans="1:15" x14ac:dyDescent="0.25">
      <c r="B65" s="4"/>
      <c r="C65" s="39"/>
      <c r="D65" s="39"/>
      <c r="F65" s="40" t="s">
        <v>675</v>
      </c>
      <c r="G65" s="4">
        <v>5</v>
      </c>
      <c r="H65" s="4" t="s">
        <v>677</v>
      </c>
      <c r="I65" s="53"/>
      <c r="J65" s="53">
        <v>1</v>
      </c>
      <c r="K65" s="53"/>
      <c r="L65" s="53"/>
      <c r="M65" s="53"/>
      <c r="N65" s="53"/>
      <c r="O65" s="53">
        <v>1</v>
      </c>
    </row>
    <row r="66" spans="1:15" x14ac:dyDescent="0.25">
      <c r="B66" s="4"/>
      <c r="C66" s="39" t="s">
        <v>73</v>
      </c>
      <c r="D66" s="39" t="s">
        <v>628</v>
      </c>
      <c r="E66" s="42" t="s">
        <v>40</v>
      </c>
      <c r="F66" s="40" t="s">
        <v>571</v>
      </c>
      <c r="G66" s="4">
        <v>10</v>
      </c>
      <c r="H66" s="4" t="s">
        <v>677</v>
      </c>
      <c r="I66" s="53"/>
      <c r="J66" s="53">
        <v>1</v>
      </c>
      <c r="K66" s="53"/>
      <c r="L66" s="53"/>
      <c r="M66" s="53"/>
      <c r="N66" s="53"/>
      <c r="O66" s="53">
        <v>1</v>
      </c>
    </row>
    <row r="67" spans="1:15" x14ac:dyDescent="0.25">
      <c r="B67" s="37" t="s">
        <v>753</v>
      </c>
      <c r="C67" s="37"/>
      <c r="D67" s="37"/>
      <c r="E67" s="37"/>
      <c r="G67" s="37"/>
      <c r="H67" s="37"/>
      <c r="I67" s="54">
        <v>1</v>
      </c>
      <c r="J67" s="54">
        <v>11</v>
      </c>
      <c r="K67" s="54"/>
      <c r="L67" s="54"/>
      <c r="M67" s="54"/>
      <c r="N67" s="54"/>
      <c r="O67" s="54">
        <v>12</v>
      </c>
    </row>
    <row r="68" spans="1:15" x14ac:dyDescent="0.25">
      <c r="A68">
        <v>1</v>
      </c>
      <c r="B68" s="4" t="s">
        <v>713</v>
      </c>
      <c r="C68" s="39" t="s">
        <v>183</v>
      </c>
      <c r="D68" s="39" t="s">
        <v>596</v>
      </c>
      <c r="E68" s="41" t="s">
        <v>20</v>
      </c>
      <c r="F68" t="s">
        <v>571</v>
      </c>
      <c r="G68">
        <v>7</v>
      </c>
      <c r="H68" t="s">
        <v>677</v>
      </c>
      <c r="I68" s="54"/>
      <c r="J68" s="54">
        <v>1</v>
      </c>
      <c r="K68" s="54"/>
      <c r="L68" s="54"/>
      <c r="M68" s="54"/>
      <c r="N68" s="54"/>
      <c r="O68" s="54">
        <v>1</v>
      </c>
    </row>
    <row r="69" spans="1:15" x14ac:dyDescent="0.25">
      <c r="B69" s="4"/>
      <c r="C69" s="39"/>
      <c r="D69" s="39"/>
      <c r="E69" s="28"/>
      <c r="F69" s="40" t="s">
        <v>569</v>
      </c>
      <c r="G69" s="4">
        <v>3</v>
      </c>
      <c r="H69" s="4" t="s">
        <v>676</v>
      </c>
      <c r="I69" s="53"/>
      <c r="J69" s="53">
        <v>2</v>
      </c>
      <c r="K69" s="53"/>
      <c r="L69" s="53"/>
      <c r="M69" s="53"/>
      <c r="N69" s="53"/>
      <c r="O69" s="53">
        <v>2</v>
      </c>
    </row>
    <row r="70" spans="1:15" x14ac:dyDescent="0.25">
      <c r="B70" s="4"/>
      <c r="C70" s="39" t="s">
        <v>100</v>
      </c>
      <c r="D70" s="39" t="s">
        <v>702</v>
      </c>
      <c r="E70" t="s">
        <v>20</v>
      </c>
      <c r="F70" s="40" t="s">
        <v>571</v>
      </c>
      <c r="G70" s="4">
        <v>4</v>
      </c>
      <c r="H70" s="4" t="s">
        <v>676</v>
      </c>
      <c r="I70" s="53"/>
      <c r="J70" s="53">
        <v>1</v>
      </c>
      <c r="K70" s="53"/>
      <c r="L70" s="53"/>
      <c r="M70" s="53"/>
      <c r="N70" s="53"/>
      <c r="O70" s="53">
        <v>1</v>
      </c>
    </row>
    <row r="71" spans="1:15" x14ac:dyDescent="0.25">
      <c r="B71" s="4"/>
      <c r="C71" s="39" t="s">
        <v>130</v>
      </c>
      <c r="D71" s="39" t="s">
        <v>599</v>
      </c>
      <c r="E71" t="s">
        <v>20</v>
      </c>
      <c r="F71" s="37" t="s">
        <v>571</v>
      </c>
      <c r="G71" s="4">
        <v>2</v>
      </c>
      <c r="H71" s="4" t="s">
        <v>676</v>
      </c>
      <c r="I71" s="53"/>
      <c r="J71" s="53">
        <v>1</v>
      </c>
      <c r="K71" s="53"/>
      <c r="L71" s="53"/>
      <c r="M71" s="53"/>
      <c r="N71" s="53"/>
      <c r="O71" s="53">
        <v>1</v>
      </c>
    </row>
    <row r="72" spans="1:15" x14ac:dyDescent="0.25">
      <c r="B72" s="4"/>
      <c r="C72" s="39"/>
      <c r="D72" s="39"/>
      <c r="G72" s="4">
        <v>4</v>
      </c>
      <c r="H72" s="4" t="s">
        <v>677</v>
      </c>
      <c r="I72" s="53"/>
      <c r="J72" s="53">
        <v>1</v>
      </c>
      <c r="K72" s="53"/>
      <c r="L72" s="53"/>
      <c r="M72" s="53"/>
      <c r="N72" s="53"/>
      <c r="O72" s="53">
        <v>1</v>
      </c>
    </row>
    <row r="73" spans="1:15" x14ac:dyDescent="0.25">
      <c r="B73" s="4"/>
      <c r="C73" s="39"/>
      <c r="D73" t="s">
        <v>702</v>
      </c>
      <c r="E73" t="s">
        <v>20</v>
      </c>
      <c r="F73" t="s">
        <v>675</v>
      </c>
      <c r="G73">
        <v>5</v>
      </c>
      <c r="H73" t="s">
        <v>677</v>
      </c>
      <c r="I73" s="54"/>
      <c r="J73" s="54">
        <v>2</v>
      </c>
      <c r="K73" s="54"/>
      <c r="L73" s="54"/>
      <c r="M73" s="54"/>
      <c r="N73" s="54"/>
      <c r="O73" s="54">
        <v>2</v>
      </c>
    </row>
    <row r="74" spans="1:15" x14ac:dyDescent="0.25">
      <c r="B74" s="4"/>
      <c r="C74" s="39" t="s">
        <v>73</v>
      </c>
      <c r="D74" s="39" t="s">
        <v>628</v>
      </c>
      <c r="E74" t="s">
        <v>20</v>
      </c>
      <c r="F74" s="40" t="s">
        <v>569</v>
      </c>
      <c r="G74">
        <v>4</v>
      </c>
      <c r="H74" s="4" t="s">
        <v>677</v>
      </c>
      <c r="I74" s="53"/>
      <c r="J74" s="53">
        <v>1</v>
      </c>
      <c r="K74" s="53"/>
      <c r="L74" s="53"/>
      <c r="M74" s="53"/>
      <c r="N74" s="53"/>
      <c r="O74" s="53">
        <v>1</v>
      </c>
    </row>
    <row r="75" spans="1:15" x14ac:dyDescent="0.25">
      <c r="B75" s="4"/>
      <c r="C75" s="39"/>
      <c r="D75" s="39" t="s">
        <v>88</v>
      </c>
      <c r="E75" t="s">
        <v>20</v>
      </c>
      <c r="F75" s="40" t="s">
        <v>571</v>
      </c>
      <c r="G75">
        <v>4</v>
      </c>
      <c r="H75" s="4" t="s">
        <v>677</v>
      </c>
      <c r="I75" s="53"/>
      <c r="J75" s="53">
        <v>1</v>
      </c>
      <c r="K75" s="53"/>
      <c r="L75" s="53"/>
      <c r="M75" s="53"/>
      <c r="N75" s="53"/>
      <c r="O75" s="53">
        <v>1</v>
      </c>
    </row>
    <row r="76" spans="1:15" x14ac:dyDescent="0.25">
      <c r="B76" s="4"/>
      <c r="C76" s="39" t="s">
        <v>708</v>
      </c>
      <c r="D76" s="39" t="s">
        <v>709</v>
      </c>
      <c r="E76" t="s">
        <v>20</v>
      </c>
      <c r="F76" s="40" t="s">
        <v>573</v>
      </c>
      <c r="G76" s="4" t="s">
        <v>756</v>
      </c>
      <c r="H76" s="4" t="s">
        <v>676</v>
      </c>
      <c r="I76" s="53">
        <v>1</v>
      </c>
      <c r="J76" s="53"/>
      <c r="K76" s="53"/>
      <c r="L76" s="53"/>
      <c r="M76" s="53"/>
      <c r="N76" s="53"/>
      <c r="O76" s="53">
        <v>1</v>
      </c>
    </row>
    <row r="77" spans="1:15" x14ac:dyDescent="0.25">
      <c r="B77" s="37" t="s">
        <v>754</v>
      </c>
      <c r="C77" s="37"/>
      <c r="D77" s="37"/>
      <c r="E77" s="37"/>
      <c r="G77" s="37"/>
      <c r="H77" s="37"/>
      <c r="I77" s="54">
        <v>1</v>
      </c>
      <c r="J77" s="54">
        <v>10</v>
      </c>
      <c r="K77" s="54"/>
      <c r="L77" s="54"/>
      <c r="M77" s="54"/>
      <c r="N77" s="54"/>
      <c r="O77" s="54">
        <v>11</v>
      </c>
    </row>
    <row r="78" spans="1:15" x14ac:dyDescent="0.25">
      <c r="A78" s="37" t="s">
        <v>701</v>
      </c>
      <c r="B78" s="37"/>
      <c r="C78" s="37"/>
      <c r="D78" s="37"/>
      <c r="E78" s="37"/>
      <c r="G78" s="37"/>
      <c r="H78" s="37"/>
      <c r="I78" s="54">
        <v>10</v>
      </c>
      <c r="J78" s="54">
        <v>37</v>
      </c>
      <c r="K78" s="54"/>
      <c r="L78" s="54">
        <v>6</v>
      </c>
      <c r="M78" s="54">
        <v>1</v>
      </c>
      <c r="N78" s="54"/>
      <c r="O78" s="54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4866-4BB3-4EE7-ACF1-7C454CFF736E}">
  <sheetPr>
    <pageSetUpPr fitToPage="1"/>
  </sheetPr>
  <dimension ref="A3:P76"/>
  <sheetViews>
    <sheetView tabSelected="1" topLeftCell="B1" workbookViewId="0">
      <selection activeCell="B5" sqref="B5"/>
    </sheetView>
  </sheetViews>
  <sheetFormatPr baseColWidth="10" defaultRowHeight="15" x14ac:dyDescent="0.25"/>
  <cols>
    <col min="1" max="1" width="4.7109375" hidden="1" customWidth="1"/>
    <col min="2" max="2" width="32.42578125" customWidth="1"/>
    <col min="3" max="3" width="16.140625" bestFit="1" customWidth="1"/>
    <col min="4" max="4" width="15.5703125" bestFit="1" customWidth="1"/>
    <col min="5" max="5" width="17" bestFit="1" customWidth="1"/>
    <col min="6" max="6" width="28.5703125" style="37" customWidth="1"/>
    <col min="7" max="7" width="11.85546875" style="37" customWidth="1"/>
    <col min="8" max="8" width="9.85546875" style="37" bestFit="1" customWidth="1"/>
    <col min="9" max="9" width="11" style="37" bestFit="1" customWidth="1"/>
    <col min="10" max="10" width="13.28515625" style="37" bestFit="1" customWidth="1"/>
    <col min="11" max="11" width="13.28515625" style="35" bestFit="1" customWidth="1"/>
    <col min="12" max="15" width="13.28515625" bestFit="1" customWidth="1"/>
    <col min="16" max="16" width="12.5703125" bestFit="1" customWidth="1"/>
    <col min="17" max="29" width="11.85546875" bestFit="1" customWidth="1"/>
    <col min="30" max="30" width="12.5703125" bestFit="1" customWidth="1"/>
  </cols>
  <sheetData>
    <row r="3" spans="1:16" x14ac:dyDescent="0.25">
      <c r="A3" s="27" t="s">
        <v>755</v>
      </c>
      <c r="F3"/>
      <c r="G3"/>
      <c r="H3"/>
      <c r="I3"/>
      <c r="J3" s="46" t="s">
        <v>8</v>
      </c>
      <c r="K3" s="37"/>
      <c r="L3" s="37"/>
      <c r="M3" s="37"/>
      <c r="N3" s="37"/>
      <c r="O3" s="37"/>
      <c r="P3" s="37"/>
    </row>
    <row r="4" spans="1:16" x14ac:dyDescent="0.25">
      <c r="A4" s="43" t="s">
        <v>749</v>
      </c>
      <c r="B4" s="43" t="s">
        <v>711</v>
      </c>
      <c r="C4" s="43" t="s">
        <v>1</v>
      </c>
      <c r="D4" s="43" t="s">
        <v>707</v>
      </c>
      <c r="E4" s="44" t="s">
        <v>19</v>
      </c>
      <c r="F4" s="33" t="s">
        <v>669</v>
      </c>
      <c r="G4" s="45" t="s">
        <v>9</v>
      </c>
      <c r="H4" s="45" t="s">
        <v>674</v>
      </c>
      <c r="I4" s="45" t="s">
        <v>10</v>
      </c>
      <c r="J4" s="40">
        <v>177</v>
      </c>
      <c r="K4" s="40">
        <v>200</v>
      </c>
      <c r="L4" s="40" t="s">
        <v>782</v>
      </c>
      <c r="M4" s="40" t="s">
        <v>756</v>
      </c>
      <c r="N4" s="40" t="s">
        <v>713</v>
      </c>
      <c r="O4" s="40" t="s">
        <v>754</v>
      </c>
      <c r="P4" s="4" t="s">
        <v>701</v>
      </c>
    </row>
    <row r="5" spans="1:16" x14ac:dyDescent="0.25">
      <c r="A5" s="4" t="s">
        <v>756</v>
      </c>
      <c r="B5" t="s">
        <v>713</v>
      </c>
      <c r="C5" s="34" t="s">
        <v>100</v>
      </c>
      <c r="D5" s="34" t="s">
        <v>702</v>
      </c>
      <c r="E5" t="s">
        <v>40</v>
      </c>
      <c r="F5" t="s">
        <v>829</v>
      </c>
      <c r="G5" t="s">
        <v>756</v>
      </c>
      <c r="H5">
        <v>7</v>
      </c>
      <c r="I5" t="s">
        <v>406</v>
      </c>
      <c r="J5" s="55"/>
      <c r="K5" s="55">
        <v>1</v>
      </c>
      <c r="L5" s="55"/>
      <c r="M5" s="55"/>
      <c r="N5" s="55"/>
      <c r="O5" s="55"/>
      <c r="P5" s="53">
        <v>1</v>
      </c>
    </row>
    <row r="6" spans="1:16" x14ac:dyDescent="0.25">
      <c r="A6" s="4"/>
      <c r="B6" t="s">
        <v>756</v>
      </c>
      <c r="C6" s="34" t="s">
        <v>756</v>
      </c>
      <c r="D6" t="s">
        <v>756</v>
      </c>
      <c r="E6" t="s">
        <v>756</v>
      </c>
      <c r="F6" t="s">
        <v>756</v>
      </c>
      <c r="G6" t="s">
        <v>756</v>
      </c>
      <c r="H6" t="s">
        <v>756</v>
      </c>
      <c r="I6" t="s">
        <v>756</v>
      </c>
      <c r="J6" s="55"/>
      <c r="K6" s="55"/>
      <c r="L6" s="55"/>
      <c r="M6" s="55"/>
      <c r="N6" s="55"/>
      <c r="O6" s="55"/>
      <c r="P6" s="53"/>
    </row>
    <row r="7" spans="1:16" x14ac:dyDescent="0.25">
      <c r="A7" s="4" t="s">
        <v>848</v>
      </c>
      <c r="B7">
        <v>1</v>
      </c>
      <c r="C7" s="34" t="s">
        <v>708</v>
      </c>
      <c r="D7" s="34" t="s">
        <v>709</v>
      </c>
      <c r="E7" t="s">
        <v>20</v>
      </c>
      <c r="F7" t="s">
        <v>573</v>
      </c>
      <c r="G7" t="s">
        <v>570</v>
      </c>
      <c r="H7">
        <v>4</v>
      </c>
      <c r="I7" t="s">
        <v>677</v>
      </c>
      <c r="J7" s="55"/>
      <c r="K7" s="55"/>
      <c r="L7" s="55"/>
      <c r="M7" s="55">
        <v>1</v>
      </c>
      <c r="N7" s="55"/>
      <c r="O7" s="55"/>
      <c r="P7" s="53">
        <v>1</v>
      </c>
    </row>
    <row r="8" spans="1:16" x14ac:dyDescent="0.25">
      <c r="A8" s="4"/>
      <c r="C8" s="34" t="s">
        <v>756</v>
      </c>
      <c r="D8" t="s">
        <v>756</v>
      </c>
      <c r="E8" t="s">
        <v>40</v>
      </c>
      <c r="F8" t="s">
        <v>756</v>
      </c>
      <c r="G8" t="s">
        <v>570</v>
      </c>
      <c r="H8">
        <v>13</v>
      </c>
      <c r="I8" t="s">
        <v>406</v>
      </c>
      <c r="J8" s="55"/>
      <c r="K8" s="55"/>
      <c r="L8" s="55"/>
      <c r="M8" s="55"/>
      <c r="N8" s="55"/>
      <c r="O8" s="55"/>
      <c r="P8" s="53"/>
    </row>
    <row r="9" spans="1:16" x14ac:dyDescent="0.25">
      <c r="A9" s="4"/>
      <c r="B9" t="s">
        <v>766</v>
      </c>
      <c r="C9" s="34" t="s">
        <v>100</v>
      </c>
      <c r="D9" t="s">
        <v>706</v>
      </c>
      <c r="E9" t="s">
        <v>40</v>
      </c>
      <c r="F9" t="s">
        <v>756</v>
      </c>
      <c r="G9" t="s">
        <v>570</v>
      </c>
      <c r="H9">
        <v>13</v>
      </c>
      <c r="I9" t="s">
        <v>406</v>
      </c>
      <c r="J9" s="55"/>
      <c r="K9" s="55"/>
      <c r="L9" s="55"/>
      <c r="M9" s="55"/>
      <c r="N9" s="55"/>
      <c r="O9" s="55"/>
      <c r="P9" s="53"/>
    </row>
    <row r="10" spans="1:16" x14ac:dyDescent="0.25">
      <c r="A10" s="4"/>
      <c r="C10" s="34" t="s">
        <v>130</v>
      </c>
      <c r="D10" s="34" t="s">
        <v>599</v>
      </c>
      <c r="E10" t="s">
        <v>40</v>
      </c>
      <c r="F10" t="s">
        <v>838</v>
      </c>
      <c r="G10" t="s">
        <v>845</v>
      </c>
      <c r="H10">
        <v>7</v>
      </c>
      <c r="I10" t="s">
        <v>406</v>
      </c>
      <c r="J10" s="55"/>
      <c r="K10" s="55">
        <v>1</v>
      </c>
      <c r="L10" s="55"/>
      <c r="M10" s="55"/>
      <c r="N10" s="55"/>
      <c r="O10" s="55"/>
      <c r="P10" s="53">
        <v>1</v>
      </c>
    </row>
    <row r="11" spans="1:16" x14ac:dyDescent="0.25">
      <c r="A11" s="4"/>
      <c r="C11" s="34"/>
      <c r="D11" t="s">
        <v>702</v>
      </c>
      <c r="E11" t="s">
        <v>40</v>
      </c>
      <c r="F11" t="s">
        <v>542</v>
      </c>
      <c r="G11" t="s">
        <v>845</v>
      </c>
      <c r="H11">
        <v>7</v>
      </c>
      <c r="I11" t="s">
        <v>406</v>
      </c>
      <c r="J11" s="55"/>
      <c r="K11" s="55">
        <v>1</v>
      </c>
      <c r="L11" s="55"/>
      <c r="M11" s="55"/>
      <c r="N11" s="55"/>
      <c r="O11" s="55"/>
      <c r="P11" s="53">
        <v>1</v>
      </c>
    </row>
    <row r="12" spans="1:16" x14ac:dyDescent="0.25">
      <c r="A12" s="4"/>
      <c r="C12" s="34"/>
      <c r="F12" t="s">
        <v>789</v>
      </c>
      <c r="G12" t="s">
        <v>570</v>
      </c>
      <c r="H12">
        <v>13</v>
      </c>
      <c r="I12" t="s">
        <v>406</v>
      </c>
      <c r="J12" s="55"/>
      <c r="K12" s="55"/>
      <c r="L12" s="55"/>
      <c r="M12" s="55"/>
      <c r="N12" s="55"/>
      <c r="O12" s="55"/>
      <c r="P12" s="53"/>
    </row>
    <row r="13" spans="1:16" x14ac:dyDescent="0.25">
      <c r="A13" s="4"/>
      <c r="C13" s="34" t="s">
        <v>113</v>
      </c>
      <c r="D13" s="34" t="s">
        <v>642</v>
      </c>
      <c r="E13" t="s">
        <v>40</v>
      </c>
      <c r="F13" t="s">
        <v>125</v>
      </c>
      <c r="G13" t="s">
        <v>845</v>
      </c>
      <c r="H13">
        <v>7</v>
      </c>
      <c r="I13" t="s">
        <v>406</v>
      </c>
      <c r="J13" s="55"/>
      <c r="K13" s="55">
        <v>1</v>
      </c>
      <c r="L13" s="55"/>
      <c r="M13" s="55"/>
      <c r="N13" s="55"/>
      <c r="O13" s="55"/>
      <c r="P13" s="53">
        <v>1</v>
      </c>
    </row>
    <row r="14" spans="1:16" x14ac:dyDescent="0.25">
      <c r="A14" s="4"/>
      <c r="C14" s="34"/>
      <c r="D14" s="34" t="s">
        <v>704</v>
      </c>
      <c r="E14" t="s">
        <v>756</v>
      </c>
      <c r="F14" t="s">
        <v>756</v>
      </c>
      <c r="G14" t="s">
        <v>570</v>
      </c>
      <c r="H14" t="s">
        <v>756</v>
      </c>
      <c r="I14" t="s">
        <v>756</v>
      </c>
      <c r="J14" s="55"/>
      <c r="K14" s="55"/>
      <c r="L14" s="55"/>
      <c r="M14" s="55"/>
      <c r="N14" s="55"/>
      <c r="O14" s="55"/>
      <c r="P14" s="53"/>
    </row>
    <row r="15" spans="1:16" x14ac:dyDescent="0.25">
      <c r="A15" s="4"/>
      <c r="C15" s="34"/>
      <c r="D15" t="s">
        <v>785</v>
      </c>
      <c r="E15" t="s">
        <v>40</v>
      </c>
      <c r="F15" t="s">
        <v>756</v>
      </c>
      <c r="G15" t="s">
        <v>570</v>
      </c>
      <c r="H15">
        <v>13</v>
      </c>
      <c r="I15" t="s">
        <v>406</v>
      </c>
      <c r="J15" s="55"/>
      <c r="K15" s="55"/>
      <c r="L15" s="55"/>
      <c r="M15" s="55"/>
      <c r="N15" s="55"/>
      <c r="O15" s="55"/>
      <c r="P15" s="53"/>
    </row>
    <row r="16" spans="1:16" x14ac:dyDescent="0.25">
      <c r="A16" s="4"/>
      <c r="C16" s="34" t="s">
        <v>708</v>
      </c>
      <c r="D16" s="34" t="s">
        <v>709</v>
      </c>
      <c r="E16" t="s">
        <v>756</v>
      </c>
      <c r="F16" t="s">
        <v>756</v>
      </c>
      <c r="G16" t="s">
        <v>570</v>
      </c>
      <c r="H16" t="s">
        <v>756</v>
      </c>
      <c r="I16" t="s">
        <v>756</v>
      </c>
      <c r="J16" s="55"/>
      <c r="K16" s="55"/>
      <c r="L16" s="55"/>
      <c r="M16" s="55"/>
      <c r="N16" s="55"/>
      <c r="O16" s="55"/>
      <c r="P16" s="53"/>
    </row>
    <row r="17" spans="1:16" x14ac:dyDescent="0.25">
      <c r="A17" s="4"/>
      <c r="C17" s="34" t="s">
        <v>153</v>
      </c>
      <c r="D17" s="34" t="s">
        <v>663</v>
      </c>
      <c r="E17" t="s">
        <v>756</v>
      </c>
      <c r="F17" t="s">
        <v>756</v>
      </c>
      <c r="G17" t="s">
        <v>570</v>
      </c>
      <c r="H17" t="s">
        <v>756</v>
      </c>
      <c r="I17" t="s">
        <v>756</v>
      </c>
      <c r="J17" s="55"/>
      <c r="K17" s="55"/>
      <c r="L17" s="55"/>
      <c r="M17" s="55"/>
      <c r="N17" s="55"/>
      <c r="O17" s="55"/>
      <c r="P17" s="53"/>
    </row>
    <row r="18" spans="1:16" x14ac:dyDescent="0.25">
      <c r="A18" s="4"/>
      <c r="C18" s="34" t="s">
        <v>756</v>
      </c>
      <c r="D18" t="s">
        <v>756</v>
      </c>
      <c r="E18" t="s">
        <v>756</v>
      </c>
      <c r="F18" t="s">
        <v>756</v>
      </c>
      <c r="G18" t="s">
        <v>570</v>
      </c>
      <c r="H18" t="s">
        <v>756</v>
      </c>
      <c r="I18" t="s">
        <v>756</v>
      </c>
      <c r="J18" s="55"/>
      <c r="K18" s="55"/>
      <c r="L18" s="55"/>
      <c r="M18" s="55"/>
      <c r="N18" s="55"/>
      <c r="O18" s="55"/>
      <c r="P18" s="53"/>
    </row>
    <row r="19" spans="1:16" x14ac:dyDescent="0.25">
      <c r="A19" s="4"/>
      <c r="B19" t="s">
        <v>756</v>
      </c>
      <c r="C19" s="34" t="s">
        <v>183</v>
      </c>
      <c r="D19" s="34" t="s">
        <v>596</v>
      </c>
      <c r="E19" t="s">
        <v>40</v>
      </c>
      <c r="F19" t="s">
        <v>569</v>
      </c>
      <c r="G19" t="s">
        <v>845</v>
      </c>
      <c r="H19">
        <v>7</v>
      </c>
      <c r="I19" t="s">
        <v>406</v>
      </c>
      <c r="J19" s="55"/>
      <c r="K19" s="55"/>
      <c r="L19" s="55"/>
      <c r="M19" s="55"/>
      <c r="N19" s="55">
        <v>1</v>
      </c>
      <c r="O19" s="55"/>
      <c r="P19" s="53">
        <v>1</v>
      </c>
    </row>
    <row r="20" spans="1:16" x14ac:dyDescent="0.25">
      <c r="A20" s="4"/>
      <c r="C20" s="34" t="s">
        <v>100</v>
      </c>
      <c r="D20" s="34" t="s">
        <v>702</v>
      </c>
      <c r="E20" t="s">
        <v>40</v>
      </c>
      <c r="F20" t="s">
        <v>571</v>
      </c>
      <c r="G20" t="s">
        <v>570</v>
      </c>
      <c r="H20">
        <v>13</v>
      </c>
      <c r="I20" t="s">
        <v>406</v>
      </c>
      <c r="J20" s="55"/>
      <c r="K20" s="55"/>
      <c r="L20" s="55"/>
      <c r="M20" s="55">
        <v>1</v>
      </c>
      <c r="N20" s="55"/>
      <c r="O20" s="55"/>
      <c r="P20" s="53">
        <v>1</v>
      </c>
    </row>
    <row r="21" spans="1:16" x14ac:dyDescent="0.25">
      <c r="A21" s="4"/>
      <c r="C21" s="34" t="s">
        <v>130</v>
      </c>
      <c r="D21" s="34" t="s">
        <v>599</v>
      </c>
      <c r="E21" t="s">
        <v>40</v>
      </c>
      <c r="F21" t="s">
        <v>571</v>
      </c>
      <c r="G21" t="s">
        <v>569</v>
      </c>
      <c r="H21">
        <v>8</v>
      </c>
      <c r="I21" t="s">
        <v>677</v>
      </c>
      <c r="J21" s="55"/>
      <c r="K21" s="55"/>
      <c r="L21" s="55"/>
      <c r="M21" s="55">
        <v>1</v>
      </c>
      <c r="N21" s="55"/>
      <c r="O21" s="55"/>
      <c r="P21" s="53">
        <v>1</v>
      </c>
    </row>
    <row r="22" spans="1:16" x14ac:dyDescent="0.25">
      <c r="A22" s="4"/>
      <c r="C22" s="34"/>
      <c r="D22" s="34"/>
      <c r="E22" t="s">
        <v>756</v>
      </c>
      <c r="F22" t="s">
        <v>756</v>
      </c>
      <c r="G22" t="s">
        <v>756</v>
      </c>
      <c r="H22" t="s">
        <v>756</v>
      </c>
      <c r="I22" t="s">
        <v>756</v>
      </c>
      <c r="J22" s="55"/>
      <c r="K22" s="55"/>
      <c r="L22" s="55"/>
      <c r="M22" s="55"/>
      <c r="N22" s="55"/>
      <c r="O22" s="55"/>
      <c r="P22" s="53"/>
    </row>
    <row r="23" spans="1:16" x14ac:dyDescent="0.25">
      <c r="A23" s="4"/>
      <c r="C23" s="34" t="s">
        <v>73</v>
      </c>
      <c r="D23" s="34" t="s">
        <v>628</v>
      </c>
      <c r="E23" t="s">
        <v>20</v>
      </c>
      <c r="F23" t="s">
        <v>569</v>
      </c>
      <c r="G23" t="s">
        <v>571</v>
      </c>
      <c r="H23">
        <v>7</v>
      </c>
      <c r="I23" t="s">
        <v>677</v>
      </c>
      <c r="J23" s="55"/>
      <c r="K23" s="55"/>
      <c r="L23" s="55"/>
      <c r="M23" s="55">
        <v>1</v>
      </c>
      <c r="N23" s="55"/>
      <c r="O23" s="55"/>
      <c r="P23" s="53">
        <v>1</v>
      </c>
    </row>
    <row r="24" spans="1:16" x14ac:dyDescent="0.25">
      <c r="A24" s="4"/>
      <c r="C24" s="34" t="s">
        <v>756</v>
      </c>
      <c r="D24" t="s">
        <v>702</v>
      </c>
      <c r="E24" t="s">
        <v>20</v>
      </c>
      <c r="F24" t="s">
        <v>675</v>
      </c>
      <c r="G24" t="s">
        <v>569</v>
      </c>
      <c r="H24">
        <v>11</v>
      </c>
      <c r="I24" t="s">
        <v>406</v>
      </c>
      <c r="J24" s="55"/>
      <c r="K24" s="55"/>
      <c r="L24" s="55"/>
      <c r="M24" s="55">
        <v>1</v>
      </c>
      <c r="N24" s="55"/>
      <c r="O24" s="55"/>
      <c r="P24" s="53">
        <v>1</v>
      </c>
    </row>
    <row r="25" spans="1:16" x14ac:dyDescent="0.25">
      <c r="A25" s="4"/>
      <c r="C25" s="34"/>
      <c r="D25" t="s">
        <v>88</v>
      </c>
      <c r="E25" t="s">
        <v>20</v>
      </c>
      <c r="F25" t="s">
        <v>571</v>
      </c>
      <c r="G25" t="s">
        <v>569</v>
      </c>
      <c r="H25">
        <v>3</v>
      </c>
      <c r="I25" t="s">
        <v>678</v>
      </c>
      <c r="J25" s="55"/>
      <c r="K25" s="55"/>
      <c r="L25" s="55"/>
      <c r="M25" s="55">
        <v>1</v>
      </c>
      <c r="N25" s="55"/>
      <c r="O25" s="55"/>
      <c r="P25" s="53">
        <v>1</v>
      </c>
    </row>
    <row r="26" spans="1:16" x14ac:dyDescent="0.25">
      <c r="A26" s="4"/>
      <c r="C26" s="34"/>
      <c r="D26" t="s">
        <v>756</v>
      </c>
      <c r="E26" t="s">
        <v>20</v>
      </c>
      <c r="F26" t="s">
        <v>569</v>
      </c>
      <c r="G26" t="s">
        <v>569</v>
      </c>
      <c r="H26">
        <v>10</v>
      </c>
      <c r="I26" t="s">
        <v>677</v>
      </c>
      <c r="J26" s="55"/>
      <c r="K26" s="55"/>
      <c r="L26" s="55"/>
      <c r="M26" s="55"/>
      <c r="N26" s="55"/>
      <c r="O26" s="55"/>
      <c r="P26" s="53"/>
    </row>
    <row r="27" spans="1:16" x14ac:dyDescent="0.25">
      <c r="A27" s="4"/>
      <c r="C27" s="34"/>
      <c r="F27"/>
      <c r="G27" t="s">
        <v>570</v>
      </c>
      <c r="H27">
        <v>11</v>
      </c>
      <c r="I27" t="s">
        <v>406</v>
      </c>
      <c r="J27" s="55"/>
      <c r="K27" s="55"/>
      <c r="L27" s="55"/>
      <c r="M27" s="55"/>
      <c r="N27" s="55"/>
      <c r="O27" s="55"/>
      <c r="P27" s="53"/>
    </row>
    <row r="28" spans="1:16" x14ac:dyDescent="0.25">
      <c r="A28" s="4"/>
      <c r="C28" s="34"/>
      <c r="F28" t="s">
        <v>571</v>
      </c>
      <c r="G28" t="s">
        <v>569</v>
      </c>
      <c r="H28">
        <v>11</v>
      </c>
      <c r="I28" t="s">
        <v>677</v>
      </c>
      <c r="J28" s="55"/>
      <c r="K28" s="55"/>
      <c r="L28" s="55"/>
      <c r="M28" s="55"/>
      <c r="N28" s="55"/>
      <c r="O28" s="55"/>
      <c r="P28" s="53"/>
    </row>
    <row r="29" spans="1:16" x14ac:dyDescent="0.25">
      <c r="A29" s="4"/>
      <c r="C29" s="34"/>
      <c r="F29"/>
      <c r="G29" t="s">
        <v>570</v>
      </c>
      <c r="H29">
        <v>11</v>
      </c>
      <c r="I29" t="s">
        <v>406</v>
      </c>
      <c r="J29" s="55"/>
      <c r="K29" s="55"/>
      <c r="L29" s="55"/>
      <c r="M29" s="55"/>
      <c r="N29" s="55"/>
      <c r="O29" s="55"/>
      <c r="P29" s="53"/>
    </row>
    <row r="30" spans="1:16" x14ac:dyDescent="0.25">
      <c r="A30" s="4"/>
      <c r="C30" s="34"/>
      <c r="F30" t="s">
        <v>570</v>
      </c>
      <c r="G30" t="s">
        <v>570</v>
      </c>
      <c r="H30">
        <v>11</v>
      </c>
      <c r="I30" t="s">
        <v>406</v>
      </c>
      <c r="J30" s="55"/>
      <c r="K30" s="55"/>
      <c r="L30" s="55"/>
      <c r="M30" s="55"/>
      <c r="N30" s="55"/>
      <c r="O30" s="55"/>
      <c r="P30" s="53"/>
    </row>
    <row r="31" spans="1:16" x14ac:dyDescent="0.25">
      <c r="A31" s="4"/>
      <c r="C31" s="34"/>
      <c r="E31" t="s">
        <v>40</v>
      </c>
      <c r="F31" t="s">
        <v>675</v>
      </c>
      <c r="G31" t="s">
        <v>569</v>
      </c>
      <c r="H31">
        <v>12</v>
      </c>
      <c r="I31" t="s">
        <v>677</v>
      </c>
      <c r="J31" s="55"/>
      <c r="K31" s="55"/>
      <c r="L31" s="55"/>
      <c r="M31" s="55"/>
      <c r="N31" s="55"/>
      <c r="O31" s="55"/>
      <c r="P31" s="53"/>
    </row>
    <row r="32" spans="1:16" x14ac:dyDescent="0.25">
      <c r="A32" s="4"/>
      <c r="C32" s="34"/>
      <c r="E32" t="s">
        <v>756</v>
      </c>
      <c r="F32" t="s">
        <v>756</v>
      </c>
      <c r="G32" t="s">
        <v>756</v>
      </c>
      <c r="H32" t="s">
        <v>756</v>
      </c>
      <c r="I32" t="s">
        <v>756</v>
      </c>
      <c r="J32" s="55"/>
      <c r="K32" s="55"/>
      <c r="L32" s="55"/>
      <c r="M32" s="55"/>
      <c r="N32" s="55"/>
      <c r="O32" s="55"/>
      <c r="P32" s="53"/>
    </row>
    <row r="33" spans="1:16" x14ac:dyDescent="0.25">
      <c r="A33" s="4">
        <v>5</v>
      </c>
      <c r="B33" s="4" t="s">
        <v>714</v>
      </c>
      <c r="C33" s="39" t="s">
        <v>167</v>
      </c>
      <c r="D33" s="39" t="s">
        <v>650</v>
      </c>
      <c r="E33" s="4" t="s">
        <v>20</v>
      </c>
      <c r="F33" t="s">
        <v>553</v>
      </c>
      <c r="G33" s="40" t="s">
        <v>569</v>
      </c>
      <c r="H33" s="4">
        <v>11</v>
      </c>
      <c r="I33" s="4" t="s">
        <v>406</v>
      </c>
      <c r="J33" s="55">
        <v>1</v>
      </c>
      <c r="K33" s="55"/>
      <c r="L33" s="55"/>
      <c r="M33" s="55"/>
      <c r="N33" s="55"/>
      <c r="O33" s="55"/>
      <c r="P33" s="53">
        <v>1</v>
      </c>
    </row>
    <row r="34" spans="1:16" x14ac:dyDescent="0.25">
      <c r="A34" s="4"/>
      <c r="B34" s="4"/>
      <c r="C34" s="39"/>
      <c r="D34" s="39"/>
      <c r="E34" s="4" t="s">
        <v>40</v>
      </c>
      <c r="F34" t="s">
        <v>651</v>
      </c>
      <c r="G34" s="40" t="s">
        <v>570</v>
      </c>
      <c r="H34" s="4">
        <v>12</v>
      </c>
      <c r="I34" s="4" t="s">
        <v>406</v>
      </c>
      <c r="J34" s="55">
        <v>1</v>
      </c>
      <c r="K34" s="55"/>
      <c r="L34" s="55"/>
      <c r="M34" s="55"/>
      <c r="N34" s="55"/>
      <c r="O34" s="55"/>
      <c r="P34" s="53">
        <v>1</v>
      </c>
    </row>
    <row r="35" spans="1:16" x14ac:dyDescent="0.25">
      <c r="A35" s="4"/>
      <c r="B35" s="4"/>
      <c r="C35" s="39" t="s">
        <v>183</v>
      </c>
      <c r="D35" s="39" t="s">
        <v>596</v>
      </c>
      <c r="E35" s="4" t="s">
        <v>20</v>
      </c>
      <c r="F35" t="s">
        <v>537</v>
      </c>
      <c r="G35" s="37" t="s">
        <v>570</v>
      </c>
      <c r="H35" s="4">
        <v>11</v>
      </c>
      <c r="I35" s="4" t="s">
        <v>406</v>
      </c>
      <c r="J35" s="55"/>
      <c r="K35" s="55">
        <v>1</v>
      </c>
      <c r="L35" s="55"/>
      <c r="M35" s="55"/>
      <c r="N35" s="55"/>
      <c r="O35" s="55"/>
      <c r="P35" s="53">
        <v>1</v>
      </c>
    </row>
    <row r="36" spans="1:16" x14ac:dyDescent="0.25">
      <c r="A36" s="4"/>
      <c r="B36" s="4"/>
      <c r="C36" s="39"/>
      <c r="D36" s="39"/>
      <c r="E36" s="4"/>
      <c r="F36" t="s">
        <v>538</v>
      </c>
      <c r="G36" s="37" t="s">
        <v>570</v>
      </c>
      <c r="H36" s="4">
        <v>11</v>
      </c>
      <c r="I36" s="4" t="s">
        <v>406</v>
      </c>
      <c r="J36" s="55"/>
      <c r="K36" s="55">
        <v>1</v>
      </c>
      <c r="L36" s="55"/>
      <c r="M36" s="55"/>
      <c r="N36" s="55"/>
      <c r="O36" s="55"/>
      <c r="P36" s="53">
        <v>1</v>
      </c>
    </row>
    <row r="37" spans="1:16" x14ac:dyDescent="0.25">
      <c r="A37" s="4"/>
      <c r="B37" s="4"/>
      <c r="C37" s="39"/>
      <c r="D37" s="39"/>
      <c r="E37" s="4" t="s">
        <v>40</v>
      </c>
      <c r="F37" t="s">
        <v>326</v>
      </c>
      <c r="G37" s="37" t="s">
        <v>570</v>
      </c>
      <c r="H37" s="4">
        <v>12</v>
      </c>
      <c r="I37" s="4" t="s">
        <v>406</v>
      </c>
      <c r="J37" s="55"/>
      <c r="K37" s="55">
        <v>1</v>
      </c>
      <c r="L37" s="55"/>
      <c r="M37" s="55"/>
      <c r="N37" s="55"/>
      <c r="O37" s="55"/>
      <c r="P37" s="53">
        <v>1</v>
      </c>
    </row>
    <row r="38" spans="1:16" x14ac:dyDescent="0.25">
      <c r="A38" s="4"/>
      <c r="B38" s="4"/>
      <c r="C38" s="39" t="s">
        <v>100</v>
      </c>
      <c r="D38" s="39" t="s">
        <v>703</v>
      </c>
      <c r="E38" s="4" t="s">
        <v>20</v>
      </c>
      <c r="F38" t="s">
        <v>548</v>
      </c>
      <c r="G38" s="40" t="s">
        <v>569</v>
      </c>
      <c r="H38" s="4">
        <v>11</v>
      </c>
      <c r="I38" s="4" t="s">
        <v>406</v>
      </c>
      <c r="J38" s="55">
        <v>1</v>
      </c>
      <c r="K38" s="55"/>
      <c r="L38" s="55"/>
      <c r="M38" s="55"/>
      <c r="N38" s="55"/>
      <c r="O38" s="55"/>
      <c r="P38" s="53">
        <v>1</v>
      </c>
    </row>
    <row r="39" spans="1:16" x14ac:dyDescent="0.25">
      <c r="A39" s="4"/>
      <c r="B39" s="4"/>
      <c r="C39" s="39" t="s">
        <v>113</v>
      </c>
      <c r="D39" s="39" t="s">
        <v>642</v>
      </c>
      <c r="E39" t="s">
        <v>20</v>
      </c>
      <c r="F39" t="s">
        <v>549</v>
      </c>
      <c r="G39" s="37" t="s">
        <v>569</v>
      </c>
      <c r="H39">
        <v>11</v>
      </c>
      <c r="I39" s="4" t="s">
        <v>406</v>
      </c>
      <c r="J39" s="55">
        <v>1</v>
      </c>
      <c r="K39" s="55"/>
      <c r="L39" s="55"/>
      <c r="M39" s="55"/>
      <c r="N39" s="55"/>
      <c r="O39" s="55"/>
      <c r="P39" s="53">
        <v>1</v>
      </c>
    </row>
    <row r="40" spans="1:16" x14ac:dyDescent="0.25">
      <c r="A40" s="4"/>
      <c r="B40" s="4"/>
      <c r="C40" s="39"/>
      <c r="D40" s="39"/>
      <c r="F40" t="s">
        <v>551</v>
      </c>
      <c r="G40" s="37" t="s">
        <v>569</v>
      </c>
      <c r="H40">
        <v>11</v>
      </c>
      <c r="I40" s="4" t="s">
        <v>406</v>
      </c>
      <c r="J40" s="55">
        <v>1</v>
      </c>
      <c r="K40" s="55"/>
      <c r="L40" s="55"/>
      <c r="M40" s="55"/>
      <c r="N40" s="55"/>
      <c r="O40" s="55"/>
      <c r="P40" s="53">
        <v>1</v>
      </c>
    </row>
    <row r="41" spans="1:16" x14ac:dyDescent="0.25">
      <c r="A41" s="4"/>
      <c r="B41" s="4"/>
      <c r="C41" s="39"/>
      <c r="D41" s="39" t="s">
        <v>644</v>
      </c>
      <c r="E41" s="4" t="s">
        <v>40</v>
      </c>
      <c r="F41" t="s">
        <v>759</v>
      </c>
      <c r="G41" s="40" t="s">
        <v>570</v>
      </c>
      <c r="H41" s="4">
        <v>7</v>
      </c>
      <c r="I41" s="4" t="s">
        <v>406</v>
      </c>
      <c r="J41" s="55">
        <v>1</v>
      </c>
      <c r="K41" s="55"/>
      <c r="L41" s="55"/>
      <c r="M41" s="55"/>
      <c r="N41" s="55"/>
      <c r="O41" s="55"/>
      <c r="P41" s="53">
        <v>1</v>
      </c>
    </row>
    <row r="42" spans="1:16" x14ac:dyDescent="0.25">
      <c r="A42" s="4"/>
      <c r="B42" s="4"/>
      <c r="C42" s="39"/>
      <c r="D42" s="39" t="s">
        <v>585</v>
      </c>
      <c r="E42" s="4" t="s">
        <v>20</v>
      </c>
      <c r="F42" t="s">
        <v>525</v>
      </c>
      <c r="G42" s="40" t="s">
        <v>569</v>
      </c>
      <c r="H42" s="4">
        <v>11</v>
      </c>
      <c r="I42" s="4" t="s">
        <v>406</v>
      </c>
      <c r="J42" s="55"/>
      <c r="K42" s="55">
        <v>1</v>
      </c>
      <c r="L42" s="55"/>
      <c r="M42" s="55"/>
      <c r="N42" s="55"/>
      <c r="O42" s="55"/>
      <c r="P42" s="53">
        <v>1</v>
      </c>
    </row>
    <row r="43" spans="1:16" x14ac:dyDescent="0.25">
      <c r="A43" s="4"/>
      <c r="B43" s="4"/>
      <c r="C43" s="39"/>
      <c r="D43" s="39"/>
      <c r="E43" s="4" t="s">
        <v>40</v>
      </c>
      <c r="F43" t="s">
        <v>579</v>
      </c>
      <c r="G43" s="40" t="s">
        <v>569</v>
      </c>
      <c r="H43" s="4">
        <v>10</v>
      </c>
      <c r="I43" s="4" t="s">
        <v>406</v>
      </c>
      <c r="J43" s="55"/>
      <c r="K43" s="55">
        <v>1</v>
      </c>
      <c r="L43" s="55"/>
      <c r="M43" s="55"/>
      <c r="N43" s="55"/>
      <c r="O43" s="55"/>
      <c r="P43" s="53">
        <v>1</v>
      </c>
    </row>
    <row r="44" spans="1:16" x14ac:dyDescent="0.25">
      <c r="A44" s="4"/>
      <c r="B44" s="4"/>
      <c r="C44" s="39"/>
      <c r="D44" s="39"/>
      <c r="E44" s="4"/>
      <c r="F44" t="s">
        <v>586</v>
      </c>
      <c r="G44" s="40" t="s">
        <v>570</v>
      </c>
      <c r="H44" s="4">
        <v>12</v>
      </c>
      <c r="I44" s="4" t="s">
        <v>406</v>
      </c>
      <c r="J44" s="55"/>
      <c r="K44" s="55">
        <v>1</v>
      </c>
      <c r="L44" s="55"/>
      <c r="M44" s="55"/>
      <c r="N44" s="55"/>
      <c r="O44" s="55"/>
      <c r="P44" s="53">
        <v>1</v>
      </c>
    </row>
    <row r="45" spans="1:16" x14ac:dyDescent="0.25">
      <c r="A45" s="4">
        <v>4</v>
      </c>
      <c r="B45" s="4" t="s">
        <v>745</v>
      </c>
      <c r="C45" s="39" t="s">
        <v>183</v>
      </c>
      <c r="D45" s="39" t="s">
        <v>624</v>
      </c>
      <c r="E45" s="4" t="s">
        <v>20</v>
      </c>
      <c r="F45" t="s">
        <v>544</v>
      </c>
      <c r="G45" s="40" t="s">
        <v>570</v>
      </c>
      <c r="H45" s="4">
        <v>11</v>
      </c>
      <c r="I45" s="4" t="s">
        <v>406</v>
      </c>
      <c r="J45" s="55"/>
      <c r="K45" s="55">
        <v>1</v>
      </c>
      <c r="L45" s="55"/>
      <c r="M45" s="55"/>
      <c r="N45" s="55"/>
      <c r="O45" s="55"/>
      <c r="P45" s="53">
        <v>1</v>
      </c>
    </row>
    <row r="46" spans="1:16" x14ac:dyDescent="0.25">
      <c r="A46" s="4">
        <v>3</v>
      </c>
      <c r="B46" s="16" t="s">
        <v>744</v>
      </c>
      <c r="C46" s="56" t="s">
        <v>167</v>
      </c>
      <c r="D46" s="56" t="s">
        <v>650</v>
      </c>
      <c r="E46" s="16" t="s">
        <v>20</v>
      </c>
      <c r="F46" t="s">
        <v>552</v>
      </c>
      <c r="G46" s="40" t="s">
        <v>569</v>
      </c>
      <c r="H46" s="16">
        <v>11</v>
      </c>
      <c r="I46" s="16" t="s">
        <v>677</v>
      </c>
      <c r="J46" s="55">
        <v>1</v>
      </c>
      <c r="K46" s="55"/>
      <c r="L46" s="55"/>
      <c r="M46" s="55"/>
      <c r="N46" s="55"/>
      <c r="O46" s="55"/>
      <c r="P46" s="53">
        <v>1</v>
      </c>
    </row>
    <row r="47" spans="1:16" x14ac:dyDescent="0.25">
      <c r="A47" s="4"/>
      <c r="B47" s="16"/>
      <c r="C47" s="56" t="s">
        <v>183</v>
      </c>
      <c r="D47" s="56" t="s">
        <v>596</v>
      </c>
      <c r="E47" t="s">
        <v>20</v>
      </c>
      <c r="F47" t="s">
        <v>539</v>
      </c>
      <c r="G47" s="37" t="s">
        <v>569</v>
      </c>
      <c r="H47" s="16">
        <v>10</v>
      </c>
      <c r="I47" s="16" t="s">
        <v>677</v>
      </c>
      <c r="J47" s="55"/>
      <c r="K47" s="55">
        <v>1</v>
      </c>
      <c r="L47" s="55"/>
      <c r="M47" s="55"/>
      <c r="N47" s="55"/>
      <c r="O47" s="55"/>
      <c r="P47" s="53">
        <v>1</v>
      </c>
    </row>
    <row r="48" spans="1:16" x14ac:dyDescent="0.25">
      <c r="A48" s="4"/>
      <c r="B48" s="16"/>
      <c r="C48" s="56" t="s">
        <v>100</v>
      </c>
      <c r="D48" s="56" t="s">
        <v>702</v>
      </c>
      <c r="E48" t="s">
        <v>20</v>
      </c>
      <c r="F48" t="s">
        <v>319</v>
      </c>
      <c r="G48" s="37" t="s">
        <v>569</v>
      </c>
      <c r="H48" s="16">
        <v>11</v>
      </c>
      <c r="I48" s="16" t="s">
        <v>677</v>
      </c>
      <c r="J48" s="55"/>
      <c r="K48" s="55">
        <v>1</v>
      </c>
      <c r="L48" s="55"/>
      <c r="M48" s="55"/>
      <c r="N48" s="55"/>
      <c r="O48" s="55"/>
      <c r="P48" s="53">
        <v>1</v>
      </c>
    </row>
    <row r="49" spans="1:16" x14ac:dyDescent="0.25">
      <c r="A49" s="4"/>
      <c r="B49" s="16"/>
      <c r="C49" s="56" t="s">
        <v>130</v>
      </c>
      <c r="D49" s="56" t="s">
        <v>599</v>
      </c>
      <c r="E49" t="s">
        <v>20</v>
      </c>
      <c r="F49" t="s">
        <v>529</v>
      </c>
      <c r="G49" s="37" t="s">
        <v>569</v>
      </c>
      <c r="H49">
        <v>11</v>
      </c>
      <c r="I49" s="16" t="s">
        <v>677</v>
      </c>
      <c r="J49" s="55"/>
      <c r="K49" s="55">
        <v>1</v>
      </c>
      <c r="L49" s="55"/>
      <c r="M49" s="55"/>
      <c r="N49" s="55"/>
      <c r="O49" s="55"/>
      <c r="P49" s="53">
        <v>1</v>
      </c>
    </row>
    <row r="50" spans="1:16" x14ac:dyDescent="0.25">
      <c r="A50" s="4"/>
      <c r="B50" s="16"/>
      <c r="C50" s="56"/>
      <c r="D50" t="s">
        <v>702</v>
      </c>
      <c r="E50" t="s">
        <v>20</v>
      </c>
      <c r="F50" t="s">
        <v>543</v>
      </c>
      <c r="G50" t="s">
        <v>569</v>
      </c>
      <c r="H50">
        <v>9</v>
      </c>
      <c r="I50" t="s">
        <v>677</v>
      </c>
      <c r="J50" s="55"/>
      <c r="K50" s="55">
        <v>1</v>
      </c>
      <c r="L50" s="55"/>
      <c r="M50" s="55"/>
      <c r="N50" s="55"/>
      <c r="O50" s="55"/>
      <c r="P50" s="53">
        <v>1</v>
      </c>
    </row>
    <row r="51" spans="1:16" x14ac:dyDescent="0.25">
      <c r="A51" s="4"/>
      <c r="B51" s="16"/>
      <c r="C51" s="56" t="s">
        <v>73</v>
      </c>
      <c r="D51" s="56" t="s">
        <v>628</v>
      </c>
      <c r="E51" t="s">
        <v>20</v>
      </c>
      <c r="F51" t="s">
        <v>547</v>
      </c>
      <c r="G51" s="37" t="s">
        <v>569</v>
      </c>
      <c r="H51" s="16">
        <v>11</v>
      </c>
      <c r="I51" s="16" t="s">
        <v>677</v>
      </c>
      <c r="J51" s="55"/>
      <c r="K51" s="55">
        <v>1</v>
      </c>
      <c r="L51" s="55"/>
      <c r="M51" s="55"/>
      <c r="N51" s="55"/>
      <c r="O51" s="55"/>
      <c r="P51" s="53">
        <v>1</v>
      </c>
    </row>
    <row r="52" spans="1:16" x14ac:dyDescent="0.25">
      <c r="A52" s="4"/>
      <c r="B52" s="16"/>
      <c r="C52" s="56" t="s">
        <v>113</v>
      </c>
      <c r="D52" s="56" t="s">
        <v>642</v>
      </c>
      <c r="E52" s="16" t="s">
        <v>40</v>
      </c>
      <c r="F52" t="s">
        <v>636</v>
      </c>
      <c r="G52" s="37" t="s">
        <v>569</v>
      </c>
      <c r="H52" s="16">
        <v>12</v>
      </c>
      <c r="I52" s="16" t="s">
        <v>677</v>
      </c>
      <c r="J52" s="55">
        <v>1</v>
      </c>
      <c r="K52" s="55"/>
      <c r="L52" s="55"/>
      <c r="M52" s="55"/>
      <c r="N52" s="55"/>
      <c r="O52" s="55"/>
      <c r="P52" s="53">
        <v>1</v>
      </c>
    </row>
    <row r="53" spans="1:16" x14ac:dyDescent="0.25">
      <c r="A53" s="4">
        <v>2</v>
      </c>
      <c r="B53" s="4" t="s">
        <v>715</v>
      </c>
      <c r="C53" s="39" t="s">
        <v>183</v>
      </c>
      <c r="D53" s="39" t="s">
        <v>596</v>
      </c>
      <c r="E53" s="4" t="s">
        <v>20</v>
      </c>
      <c r="F53" t="s">
        <v>313</v>
      </c>
      <c r="G53" s="40" t="s">
        <v>569</v>
      </c>
      <c r="H53" s="4">
        <v>6</v>
      </c>
      <c r="I53" s="4" t="s">
        <v>677</v>
      </c>
      <c r="J53" s="55"/>
      <c r="K53" s="55">
        <v>1</v>
      </c>
      <c r="L53" s="55"/>
      <c r="M53" s="55"/>
      <c r="N53" s="55"/>
      <c r="O53" s="55"/>
      <c r="P53" s="53">
        <v>1</v>
      </c>
    </row>
    <row r="54" spans="1:16" x14ac:dyDescent="0.25">
      <c r="A54" s="4"/>
      <c r="B54" s="4"/>
      <c r="C54" s="39"/>
      <c r="D54" s="39"/>
      <c r="E54" s="4"/>
      <c r="F54" t="s">
        <v>279</v>
      </c>
      <c r="G54" s="40" t="s">
        <v>675</v>
      </c>
      <c r="H54" s="4">
        <v>5</v>
      </c>
      <c r="I54" s="4" t="s">
        <v>677</v>
      </c>
      <c r="J54" s="55"/>
      <c r="K54" s="55">
        <v>1</v>
      </c>
      <c r="L54" s="55"/>
      <c r="M54" s="55"/>
      <c r="N54" s="55"/>
      <c r="O54" s="55"/>
      <c r="P54" s="53">
        <v>1</v>
      </c>
    </row>
    <row r="55" spans="1:16" x14ac:dyDescent="0.25">
      <c r="A55" s="4"/>
      <c r="B55" s="4"/>
      <c r="C55" s="39"/>
      <c r="D55" s="39"/>
      <c r="E55" s="4"/>
      <c r="F55" t="s">
        <v>534</v>
      </c>
      <c r="G55" s="40" t="s">
        <v>571</v>
      </c>
      <c r="H55" s="4">
        <v>7</v>
      </c>
      <c r="I55" s="4" t="s">
        <v>677</v>
      </c>
      <c r="J55" s="55"/>
      <c r="K55" s="55">
        <v>1</v>
      </c>
      <c r="L55" s="55"/>
      <c r="M55" s="55"/>
      <c r="N55" s="55"/>
      <c r="O55" s="55"/>
      <c r="P55" s="53">
        <v>1</v>
      </c>
    </row>
    <row r="56" spans="1:16" x14ac:dyDescent="0.25">
      <c r="A56" s="4"/>
      <c r="B56" s="4"/>
      <c r="C56" s="39"/>
      <c r="D56" s="39"/>
      <c r="E56" s="4"/>
      <c r="F56" t="s">
        <v>536</v>
      </c>
      <c r="G56" s="40" t="s">
        <v>569</v>
      </c>
      <c r="H56" s="4">
        <v>6</v>
      </c>
      <c r="I56" s="4" t="s">
        <v>677</v>
      </c>
      <c r="J56" s="55"/>
      <c r="K56" s="55">
        <v>1</v>
      </c>
      <c r="L56" s="55"/>
      <c r="M56" s="55"/>
      <c r="N56" s="55"/>
      <c r="O56" s="55"/>
      <c r="P56" s="53">
        <v>1</v>
      </c>
    </row>
    <row r="57" spans="1:16" x14ac:dyDescent="0.25">
      <c r="A57" s="4"/>
      <c r="B57" s="4"/>
      <c r="C57" s="39"/>
      <c r="D57" s="39"/>
      <c r="E57" s="4"/>
      <c r="F57" t="s">
        <v>761</v>
      </c>
      <c r="G57" s="40" t="s">
        <v>570</v>
      </c>
      <c r="H57" s="4">
        <v>4</v>
      </c>
      <c r="I57" s="4" t="s">
        <v>677</v>
      </c>
      <c r="J57" s="55"/>
      <c r="K57" s="55">
        <v>1</v>
      </c>
      <c r="L57" s="55"/>
      <c r="M57" s="55"/>
      <c r="N57" s="55"/>
      <c r="O57" s="55"/>
      <c r="P57" s="53">
        <v>1</v>
      </c>
    </row>
    <row r="58" spans="1:16" x14ac:dyDescent="0.25">
      <c r="A58" s="4"/>
      <c r="B58" s="4"/>
      <c r="C58" s="39"/>
      <c r="D58" s="39"/>
      <c r="E58" s="4" t="s">
        <v>40</v>
      </c>
      <c r="F58" t="s">
        <v>609</v>
      </c>
      <c r="G58" s="40" t="s">
        <v>569</v>
      </c>
      <c r="H58" s="4">
        <v>8</v>
      </c>
      <c r="I58" s="4" t="s">
        <v>679</v>
      </c>
      <c r="J58" s="55"/>
      <c r="K58" s="55">
        <v>1</v>
      </c>
      <c r="L58" s="55"/>
      <c r="M58" s="55"/>
      <c r="N58" s="55"/>
      <c r="O58" s="55"/>
      <c r="P58" s="53">
        <v>1</v>
      </c>
    </row>
    <row r="59" spans="1:16" x14ac:dyDescent="0.25">
      <c r="A59" s="4"/>
      <c r="B59" s="4"/>
      <c r="C59" s="39"/>
      <c r="D59" s="39"/>
      <c r="E59" s="4" t="s">
        <v>214</v>
      </c>
      <c r="F59" t="s">
        <v>535</v>
      </c>
      <c r="G59" s="40" t="s">
        <v>571</v>
      </c>
      <c r="H59" s="4">
        <v>7</v>
      </c>
      <c r="I59" s="4" t="s">
        <v>677</v>
      </c>
      <c r="J59" s="55"/>
      <c r="K59" s="55">
        <v>1</v>
      </c>
      <c r="L59" s="55"/>
      <c r="M59" s="55"/>
      <c r="N59" s="55"/>
      <c r="O59" s="55"/>
      <c r="P59" s="53">
        <v>1</v>
      </c>
    </row>
    <row r="60" spans="1:16" x14ac:dyDescent="0.25">
      <c r="A60" s="4"/>
      <c r="B60" s="4"/>
      <c r="C60" s="39"/>
      <c r="D60" s="39"/>
      <c r="E60" s="4"/>
      <c r="F60" t="s">
        <v>533</v>
      </c>
      <c r="G60" s="40" t="s">
        <v>571</v>
      </c>
      <c r="H60" s="4">
        <v>7</v>
      </c>
      <c r="I60" s="4" t="s">
        <v>677</v>
      </c>
      <c r="J60" s="55"/>
      <c r="K60" s="55">
        <v>1</v>
      </c>
      <c r="L60" s="55"/>
      <c r="M60" s="55"/>
      <c r="N60" s="55"/>
      <c r="O60" s="55"/>
      <c r="P60" s="53">
        <v>1</v>
      </c>
    </row>
    <row r="61" spans="1:16" x14ac:dyDescent="0.25">
      <c r="A61" s="4"/>
      <c r="B61" s="4"/>
      <c r="C61" s="39" t="s">
        <v>100</v>
      </c>
      <c r="D61" s="39" t="s">
        <v>703</v>
      </c>
      <c r="E61" s="4" t="s">
        <v>20</v>
      </c>
      <c r="F61" t="s">
        <v>550</v>
      </c>
      <c r="G61" s="40" t="s">
        <v>675</v>
      </c>
      <c r="H61" s="4">
        <v>5</v>
      </c>
      <c r="I61" s="4" t="s">
        <v>677</v>
      </c>
      <c r="J61" s="55">
        <v>1</v>
      </c>
      <c r="K61" s="55"/>
      <c r="L61" s="55"/>
      <c r="M61" s="55"/>
      <c r="N61" s="55"/>
      <c r="O61" s="55"/>
      <c r="P61" s="53">
        <v>1</v>
      </c>
    </row>
    <row r="62" spans="1:16" x14ac:dyDescent="0.25">
      <c r="A62" s="4"/>
      <c r="B62" s="4"/>
      <c r="C62" s="39" t="s">
        <v>130</v>
      </c>
      <c r="D62" s="39" t="s">
        <v>599</v>
      </c>
      <c r="E62" t="s">
        <v>20</v>
      </c>
      <c r="F62" t="s">
        <v>527</v>
      </c>
      <c r="G62" s="40" t="s">
        <v>571</v>
      </c>
      <c r="H62" s="4">
        <v>7</v>
      </c>
      <c r="I62" s="4" t="s">
        <v>677</v>
      </c>
      <c r="J62" s="55"/>
      <c r="K62" s="55">
        <v>1</v>
      </c>
      <c r="L62" s="55"/>
      <c r="M62" s="55"/>
      <c r="N62" s="55"/>
      <c r="O62" s="55"/>
      <c r="P62" s="53">
        <v>1</v>
      </c>
    </row>
    <row r="63" spans="1:16" x14ac:dyDescent="0.25">
      <c r="A63" s="4"/>
      <c r="B63" s="4"/>
      <c r="C63" s="39"/>
      <c r="D63" s="39"/>
      <c r="F63" t="s">
        <v>530</v>
      </c>
      <c r="G63" s="40" t="s">
        <v>675</v>
      </c>
      <c r="H63" s="4">
        <v>5</v>
      </c>
      <c r="I63" s="4" t="s">
        <v>677</v>
      </c>
      <c r="J63" s="55"/>
      <c r="K63" s="55">
        <v>1</v>
      </c>
      <c r="L63" s="55"/>
      <c r="M63" s="55"/>
      <c r="N63" s="55"/>
      <c r="O63" s="55"/>
      <c r="P63" s="53">
        <v>1</v>
      </c>
    </row>
    <row r="64" spans="1:16" x14ac:dyDescent="0.25">
      <c r="A64" s="4"/>
      <c r="B64" s="4"/>
      <c r="C64" s="39" t="s">
        <v>73</v>
      </c>
      <c r="D64" s="39" t="s">
        <v>628</v>
      </c>
      <c r="E64" s="4" t="s">
        <v>40</v>
      </c>
      <c r="F64" t="s">
        <v>631</v>
      </c>
      <c r="G64" s="40" t="s">
        <v>571</v>
      </c>
      <c r="H64" s="4">
        <v>10</v>
      </c>
      <c r="I64" s="4" t="s">
        <v>677</v>
      </c>
      <c r="J64" s="55"/>
      <c r="K64" s="55">
        <v>1</v>
      </c>
      <c r="L64" s="55"/>
      <c r="M64" s="55"/>
      <c r="N64" s="55"/>
      <c r="O64" s="55"/>
      <c r="P64" s="53">
        <v>1</v>
      </c>
    </row>
    <row r="65" spans="1:16" x14ac:dyDescent="0.25">
      <c r="A65" s="4">
        <v>1</v>
      </c>
      <c r="B65" s="4" t="s">
        <v>713</v>
      </c>
      <c r="C65" s="39" t="s">
        <v>183</v>
      </c>
      <c r="D65" s="39" t="s">
        <v>596</v>
      </c>
      <c r="E65" s="4" t="s">
        <v>20</v>
      </c>
      <c r="F65" t="s">
        <v>531</v>
      </c>
      <c r="G65" s="40" t="s">
        <v>569</v>
      </c>
      <c r="H65" s="40">
        <v>3</v>
      </c>
      <c r="I65" s="40" t="s">
        <v>676</v>
      </c>
      <c r="J65" s="55"/>
      <c r="K65" s="55">
        <v>1</v>
      </c>
      <c r="L65" s="55"/>
      <c r="M65" s="55"/>
      <c r="N65" s="55"/>
      <c r="O65" s="55"/>
      <c r="P65" s="53">
        <v>1</v>
      </c>
    </row>
    <row r="66" spans="1:16" x14ac:dyDescent="0.25">
      <c r="A66" s="4"/>
      <c r="B66" s="4"/>
      <c r="C66" s="39"/>
      <c r="D66" s="39"/>
      <c r="E66" s="4"/>
      <c r="F66" t="s">
        <v>309</v>
      </c>
      <c r="G66" t="s">
        <v>571</v>
      </c>
      <c r="H66">
        <v>7</v>
      </c>
      <c r="I66" t="s">
        <v>677</v>
      </c>
      <c r="J66" s="55"/>
      <c r="K66" s="55">
        <v>1</v>
      </c>
      <c r="L66" s="55"/>
      <c r="M66" s="55"/>
      <c r="N66" s="55"/>
      <c r="O66" s="55"/>
      <c r="P66" s="53">
        <v>1</v>
      </c>
    </row>
    <row r="67" spans="1:16" x14ac:dyDescent="0.25">
      <c r="A67" s="4"/>
      <c r="B67" s="4"/>
      <c r="C67" s="39"/>
      <c r="D67" s="39"/>
      <c r="E67" s="4"/>
      <c r="F67" t="s">
        <v>532</v>
      </c>
      <c r="G67" s="40" t="s">
        <v>569</v>
      </c>
      <c r="H67" s="40">
        <v>3</v>
      </c>
      <c r="I67" s="40" t="s">
        <v>676</v>
      </c>
      <c r="J67" s="55"/>
      <c r="K67" s="55">
        <v>1</v>
      </c>
      <c r="L67" s="55"/>
      <c r="M67" s="55"/>
      <c r="N67" s="55"/>
      <c r="O67" s="55"/>
      <c r="P67" s="53">
        <v>1</v>
      </c>
    </row>
    <row r="68" spans="1:16" x14ac:dyDescent="0.25">
      <c r="A68" s="4"/>
      <c r="B68" s="4"/>
      <c r="C68" s="39" t="s">
        <v>100</v>
      </c>
      <c r="D68" s="39" t="s">
        <v>702</v>
      </c>
      <c r="E68" t="s">
        <v>20</v>
      </c>
      <c r="F68" t="s">
        <v>832</v>
      </c>
      <c r="G68" s="40" t="s">
        <v>571</v>
      </c>
      <c r="H68" s="40">
        <v>4</v>
      </c>
      <c r="I68" s="40" t="s">
        <v>676</v>
      </c>
      <c r="J68" s="55"/>
      <c r="K68" s="55">
        <v>1</v>
      </c>
      <c r="L68" s="55"/>
      <c r="M68" s="55"/>
      <c r="N68" s="55"/>
      <c r="O68" s="55"/>
      <c r="P68" s="53">
        <v>1</v>
      </c>
    </row>
    <row r="69" spans="1:16" x14ac:dyDescent="0.25">
      <c r="A69" s="4"/>
      <c r="B69" s="4"/>
      <c r="C69" s="39" t="s">
        <v>130</v>
      </c>
      <c r="D69" s="39" t="s">
        <v>599</v>
      </c>
      <c r="E69" t="s">
        <v>20</v>
      </c>
      <c r="F69" t="s">
        <v>760</v>
      </c>
      <c r="G69" s="37" t="s">
        <v>571</v>
      </c>
      <c r="H69" s="40">
        <v>4</v>
      </c>
      <c r="I69" s="40" t="s">
        <v>677</v>
      </c>
      <c r="J69" s="55"/>
      <c r="K69" s="55">
        <v>1</v>
      </c>
      <c r="L69" s="55"/>
      <c r="M69" s="55"/>
      <c r="N69" s="55"/>
      <c r="O69" s="55"/>
      <c r="P69" s="53">
        <v>1</v>
      </c>
    </row>
    <row r="70" spans="1:16" x14ac:dyDescent="0.25">
      <c r="A70" s="4"/>
      <c r="B70" s="4"/>
      <c r="C70" s="39"/>
      <c r="D70" s="39"/>
      <c r="F70" t="s">
        <v>836</v>
      </c>
      <c r="G70" s="37" t="s">
        <v>571</v>
      </c>
      <c r="H70" s="40">
        <v>2</v>
      </c>
      <c r="I70" s="40" t="s">
        <v>676</v>
      </c>
      <c r="J70" s="55"/>
      <c r="K70" s="55">
        <v>1</v>
      </c>
      <c r="L70" s="55"/>
      <c r="M70" s="55"/>
      <c r="N70" s="55"/>
      <c r="O70" s="55"/>
      <c r="P70" s="53">
        <v>1</v>
      </c>
    </row>
    <row r="71" spans="1:16" x14ac:dyDescent="0.25">
      <c r="A71" s="4"/>
      <c r="B71" s="4"/>
      <c r="C71" s="39"/>
      <c r="D71" t="s">
        <v>702</v>
      </c>
      <c r="E71" t="s">
        <v>20</v>
      </c>
      <c r="F71" t="s">
        <v>833</v>
      </c>
      <c r="G71" t="s">
        <v>675</v>
      </c>
      <c r="H71">
        <v>5</v>
      </c>
      <c r="I71" t="s">
        <v>677</v>
      </c>
      <c r="J71" s="55"/>
      <c r="K71" s="55">
        <v>1</v>
      </c>
      <c r="L71" s="55"/>
      <c r="M71" s="55"/>
      <c r="N71" s="55"/>
      <c r="O71" s="55"/>
      <c r="P71" s="53">
        <v>1</v>
      </c>
    </row>
    <row r="72" spans="1:16" x14ac:dyDescent="0.25">
      <c r="A72" s="4"/>
      <c r="B72" s="4"/>
      <c r="C72" s="39"/>
      <c r="F72" t="s">
        <v>822</v>
      </c>
      <c r="G72" t="s">
        <v>675</v>
      </c>
      <c r="H72">
        <v>5</v>
      </c>
      <c r="I72" t="s">
        <v>677</v>
      </c>
      <c r="J72" s="55"/>
      <c r="K72" s="55">
        <v>1</v>
      </c>
      <c r="L72" s="55"/>
      <c r="M72" s="55"/>
      <c r="N72" s="55"/>
      <c r="O72" s="55"/>
      <c r="P72" s="53">
        <v>1</v>
      </c>
    </row>
    <row r="73" spans="1:16" x14ac:dyDescent="0.25">
      <c r="A73" s="4"/>
      <c r="B73" s="4"/>
      <c r="C73" s="39" t="s">
        <v>73</v>
      </c>
      <c r="D73" s="39" t="s">
        <v>628</v>
      </c>
      <c r="E73" t="s">
        <v>20</v>
      </c>
      <c r="F73" t="s">
        <v>546</v>
      </c>
      <c r="G73" s="40" t="s">
        <v>569</v>
      </c>
      <c r="H73">
        <v>4</v>
      </c>
      <c r="I73" s="40" t="s">
        <v>677</v>
      </c>
      <c r="J73" s="55"/>
      <c r="K73" s="55">
        <v>1</v>
      </c>
      <c r="L73" s="55"/>
      <c r="M73" s="55"/>
      <c r="N73" s="55"/>
      <c r="O73" s="55"/>
      <c r="P73" s="53">
        <v>1</v>
      </c>
    </row>
    <row r="74" spans="1:16" x14ac:dyDescent="0.25">
      <c r="A74" s="4"/>
      <c r="B74" s="4"/>
      <c r="C74" s="39"/>
      <c r="D74" s="39" t="s">
        <v>88</v>
      </c>
      <c r="E74" t="s">
        <v>20</v>
      </c>
      <c r="F74" t="s">
        <v>545</v>
      </c>
      <c r="G74" s="40" t="s">
        <v>571</v>
      </c>
      <c r="H74">
        <v>4</v>
      </c>
      <c r="I74" s="40" t="s">
        <v>677</v>
      </c>
      <c r="J74" s="55"/>
      <c r="K74" s="55">
        <v>1</v>
      </c>
      <c r="L74" s="55"/>
      <c r="M74" s="55"/>
      <c r="N74" s="55"/>
      <c r="O74" s="55"/>
      <c r="P74" s="53">
        <v>1</v>
      </c>
    </row>
    <row r="75" spans="1:16" x14ac:dyDescent="0.25">
      <c r="A75" s="4"/>
      <c r="B75" s="4"/>
      <c r="C75" s="39" t="s">
        <v>708</v>
      </c>
      <c r="D75" s="39" t="s">
        <v>709</v>
      </c>
      <c r="E75" t="s">
        <v>20</v>
      </c>
      <c r="F75" t="s">
        <v>554</v>
      </c>
      <c r="G75" s="40" t="s">
        <v>573</v>
      </c>
      <c r="H75" s="40" t="s">
        <v>756</v>
      </c>
      <c r="I75" s="40" t="s">
        <v>676</v>
      </c>
      <c r="J75" s="55">
        <v>1</v>
      </c>
      <c r="K75" s="55"/>
      <c r="L75" s="55"/>
      <c r="M75" s="55"/>
      <c r="N75" s="55"/>
      <c r="O75" s="55"/>
      <c r="P75" s="53">
        <v>1</v>
      </c>
    </row>
    <row r="76" spans="1:16" x14ac:dyDescent="0.25">
      <c r="A76" s="40" t="s">
        <v>701</v>
      </c>
      <c r="B76" s="40"/>
      <c r="C76" s="40"/>
      <c r="D76" s="40"/>
      <c r="E76" s="40"/>
      <c r="F76" s="40"/>
      <c r="G76" s="40"/>
      <c r="H76" s="40"/>
      <c r="I76" s="40"/>
      <c r="J76" s="55">
        <v>10</v>
      </c>
      <c r="K76" s="55">
        <v>37</v>
      </c>
      <c r="L76" s="55"/>
      <c r="M76" s="55">
        <v>6</v>
      </c>
      <c r="N76" s="55">
        <v>1</v>
      </c>
      <c r="O76" s="55"/>
      <c r="P76" s="53">
        <v>54</v>
      </c>
    </row>
  </sheetData>
  <pageMargins left="0.25" right="0.25" top="0.75" bottom="0.75" header="0.3" footer="0.3"/>
  <pageSetup paperSize="9" scale="96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4533-27E5-4A22-B871-B56B21A063BA}">
  <dimension ref="A1:AC101"/>
  <sheetViews>
    <sheetView zoomScaleNormal="100" workbookViewId="0">
      <pane ySplit="1" topLeftCell="A23" activePane="bottomLeft" state="frozen"/>
      <selection pane="bottomLeft" activeCell="B72" sqref="B72"/>
    </sheetView>
  </sheetViews>
  <sheetFormatPr baseColWidth="10" defaultRowHeight="15" x14ac:dyDescent="0.25"/>
  <cols>
    <col min="1" max="1" width="10.7109375" bestFit="1" customWidth="1"/>
    <col min="2" max="2" width="14.140625" bestFit="1" customWidth="1"/>
    <col min="3" max="3" width="14.140625" customWidth="1"/>
    <col min="4" max="4" width="20" bestFit="1" customWidth="1"/>
    <col min="5" max="5" width="12.5703125" bestFit="1" customWidth="1"/>
    <col min="6" max="6" width="52.85546875" customWidth="1"/>
    <col min="7" max="7" width="27.28515625" customWidth="1"/>
    <col min="8" max="8" width="10.140625" bestFit="1" customWidth="1"/>
    <col min="9" max="9" width="27.28515625" customWidth="1"/>
    <col min="10" max="10" width="46.5703125" bestFit="1" customWidth="1"/>
    <col min="11" max="11" width="9.5703125" bestFit="1" customWidth="1"/>
    <col min="12" max="12" width="135.85546875" bestFit="1" customWidth="1"/>
    <col min="13" max="13" width="14.85546875" bestFit="1" customWidth="1"/>
    <col min="14" max="14" width="14.85546875" customWidth="1"/>
    <col min="15" max="15" width="15.28515625" bestFit="1" customWidth="1"/>
    <col min="16" max="16" width="19" customWidth="1"/>
    <col min="17" max="17" width="19.5703125" customWidth="1"/>
    <col min="18" max="19" width="16.140625" customWidth="1"/>
    <col min="20" max="20" width="35.28515625" bestFit="1" customWidth="1"/>
    <col min="21" max="21" width="13.42578125" customWidth="1"/>
    <col min="22" max="22" width="33" bestFit="1" customWidth="1"/>
    <col min="23" max="23" width="35.42578125" bestFit="1" customWidth="1"/>
    <col min="24" max="24" width="35.7109375" bestFit="1" customWidth="1"/>
    <col min="25" max="25" width="12.42578125" bestFit="1" customWidth="1"/>
    <col min="26" max="26" width="32.5703125" bestFit="1" customWidth="1"/>
    <col min="27" max="27" width="54.140625" bestFit="1" customWidth="1"/>
    <col min="28" max="28" width="33.28515625" bestFit="1" customWidth="1"/>
    <col min="29" max="29" width="108.7109375" bestFit="1" customWidth="1"/>
  </cols>
  <sheetData>
    <row r="1" spans="1:29" x14ac:dyDescent="0.25">
      <c r="A1" s="29" t="s">
        <v>8</v>
      </c>
      <c r="B1" s="30" t="s">
        <v>1</v>
      </c>
      <c r="C1" s="30" t="s">
        <v>707</v>
      </c>
      <c r="D1" s="30" t="s">
        <v>667</v>
      </c>
      <c r="E1" s="30" t="s">
        <v>668</v>
      </c>
      <c r="F1" s="30" t="s">
        <v>669</v>
      </c>
      <c r="G1" s="30" t="s">
        <v>762</v>
      </c>
      <c r="H1" s="30" t="s">
        <v>710</v>
      </c>
      <c r="I1" s="30" t="s">
        <v>711</v>
      </c>
      <c r="J1" s="30" t="s">
        <v>779</v>
      </c>
      <c r="K1" s="30" t="s">
        <v>773</v>
      </c>
      <c r="L1" s="30" t="s">
        <v>774</v>
      </c>
      <c r="M1" s="30" t="s">
        <v>749</v>
      </c>
      <c r="N1" s="30" t="s">
        <v>748</v>
      </c>
      <c r="O1" s="30" t="s">
        <v>9</v>
      </c>
      <c r="P1" s="30" t="s">
        <v>674</v>
      </c>
      <c r="Q1" s="30" t="s">
        <v>568</v>
      </c>
      <c r="R1" s="30" t="s">
        <v>19</v>
      </c>
      <c r="S1" s="30" t="s">
        <v>6</v>
      </c>
      <c r="T1" s="30" t="s">
        <v>670</v>
      </c>
      <c r="U1" s="30" t="s">
        <v>10</v>
      </c>
      <c r="V1" s="30" t="s">
        <v>671</v>
      </c>
      <c r="W1" s="30" t="s">
        <v>11</v>
      </c>
      <c r="X1" s="30" t="s">
        <v>575</v>
      </c>
      <c r="Y1" s="30" t="s">
        <v>690</v>
      </c>
      <c r="Z1" s="30" t="s">
        <v>672</v>
      </c>
      <c r="AA1" s="30" t="s">
        <v>673</v>
      </c>
      <c r="AB1" s="30" t="s">
        <v>578</v>
      </c>
      <c r="AC1" s="31" t="s">
        <v>484</v>
      </c>
    </row>
    <row r="2" spans="1:29" hidden="1" x14ac:dyDescent="0.25">
      <c r="A2" s="4">
        <v>200</v>
      </c>
      <c r="B2" s="4" t="s">
        <v>113</v>
      </c>
      <c r="C2" s="4" t="s">
        <v>585</v>
      </c>
      <c r="D2" s="4" t="s">
        <v>226</v>
      </c>
      <c r="E2" s="4" t="s">
        <v>118</v>
      </c>
      <c r="F2" s="4" t="s">
        <v>579</v>
      </c>
      <c r="G2" s="4" t="s">
        <v>669</v>
      </c>
      <c r="H2" s="4" t="s">
        <v>712</v>
      </c>
      <c r="I2" s="4" t="s">
        <v>714</v>
      </c>
      <c r="J2" s="5" t="s">
        <v>765</v>
      </c>
      <c r="K2" s="5" t="s">
        <v>775</v>
      </c>
      <c r="L2" s="5" t="s">
        <v>776</v>
      </c>
      <c r="M2" s="4">
        <f>VLOOKUP(TabINV2026[[#This Row],[Estado2]],Tabla!$A$2:$B$6,2,FALSE)</f>
        <v>5</v>
      </c>
      <c r="N2" s="4" t="s">
        <v>714</v>
      </c>
      <c r="O2" s="4" t="s">
        <v>569</v>
      </c>
      <c r="P2" s="4">
        <v>10</v>
      </c>
      <c r="Q2" s="4" t="s">
        <v>580</v>
      </c>
      <c r="R2" s="4" t="s">
        <v>40</v>
      </c>
      <c r="S2" s="4" t="s">
        <v>688</v>
      </c>
      <c r="T2" s="4" t="s">
        <v>331</v>
      </c>
      <c r="U2" s="4" t="s">
        <v>406</v>
      </c>
      <c r="V2" s="4" t="s">
        <v>581</v>
      </c>
      <c r="W2" s="4" t="s">
        <v>576</v>
      </c>
      <c r="X2" s="4" t="s">
        <v>274</v>
      </c>
      <c r="Y2" s="4" t="s">
        <v>691</v>
      </c>
      <c r="Z2" s="4" t="s">
        <v>582</v>
      </c>
      <c r="AA2" s="4" t="s">
        <v>583</v>
      </c>
      <c r="AB2" s="4" t="s">
        <v>332</v>
      </c>
      <c r="AC2" s="4" t="s">
        <v>584</v>
      </c>
    </row>
    <row r="3" spans="1:29" hidden="1" x14ac:dyDescent="0.25">
      <c r="A3" s="4">
        <v>200</v>
      </c>
      <c r="B3" s="4" t="s">
        <v>113</v>
      </c>
      <c r="C3" s="4" t="s">
        <v>585</v>
      </c>
      <c r="D3" s="4" t="s">
        <v>181</v>
      </c>
      <c r="E3" s="4" t="s">
        <v>120</v>
      </c>
      <c r="F3" s="4" t="s">
        <v>586</v>
      </c>
      <c r="G3" s="4" t="s">
        <v>763</v>
      </c>
      <c r="H3" s="4" t="s">
        <v>712</v>
      </c>
      <c r="I3" s="4" t="s">
        <v>714</v>
      </c>
      <c r="J3" s="5" t="s">
        <v>765</v>
      </c>
      <c r="K3" s="5" t="s">
        <v>775</v>
      </c>
      <c r="L3" s="5" t="s">
        <v>776</v>
      </c>
      <c r="M3" s="4">
        <f>VLOOKUP(TabINV2026[[#This Row],[Estado2]],Tabla!$A$2:$B$6,2,FALSE)</f>
        <v>5</v>
      </c>
      <c r="N3" s="4" t="s">
        <v>714</v>
      </c>
      <c r="O3" s="4" t="s">
        <v>570</v>
      </c>
      <c r="P3" s="4">
        <v>12</v>
      </c>
      <c r="Q3" s="4" t="s">
        <v>587</v>
      </c>
      <c r="R3" s="4" t="s">
        <v>40</v>
      </c>
      <c r="S3" s="4" t="s">
        <v>188</v>
      </c>
      <c r="T3" s="4" t="s">
        <v>275</v>
      </c>
      <c r="U3" s="4" t="s">
        <v>406</v>
      </c>
      <c r="V3" s="4" t="s">
        <v>276</v>
      </c>
      <c r="W3" s="4" t="s">
        <v>682</v>
      </c>
      <c r="X3" s="4" t="s">
        <v>277</v>
      </c>
      <c r="Y3" s="4" t="s">
        <v>691</v>
      </c>
      <c r="Z3" s="4" t="s">
        <v>588</v>
      </c>
      <c r="AA3" s="4" t="s">
        <v>589</v>
      </c>
      <c r="AB3" s="4" t="s">
        <v>590</v>
      </c>
      <c r="AC3" s="4" t="s">
        <v>591</v>
      </c>
    </row>
    <row r="4" spans="1:29" hidden="1" x14ac:dyDescent="0.25">
      <c r="A4" s="4">
        <v>200</v>
      </c>
      <c r="B4" s="4" t="s">
        <v>113</v>
      </c>
      <c r="C4" s="4" t="s">
        <v>585</v>
      </c>
      <c r="D4" s="4" t="s">
        <v>123</v>
      </c>
      <c r="E4" s="4" t="s">
        <v>557</v>
      </c>
      <c r="F4" s="4" t="s">
        <v>525</v>
      </c>
      <c r="G4" s="4"/>
      <c r="H4" s="4" t="s">
        <v>712</v>
      </c>
      <c r="I4" s="4" t="s">
        <v>714</v>
      </c>
      <c r="J4" s="5" t="s">
        <v>765</v>
      </c>
      <c r="K4" s="5" t="s">
        <v>775</v>
      </c>
      <c r="L4" s="5" t="s">
        <v>776</v>
      </c>
      <c r="M4" s="4">
        <f>VLOOKUP(TabINV2026[[#This Row],[Estado2]],Tabla!$A$2:$B$6,2,FALSE)</f>
        <v>5</v>
      </c>
      <c r="N4" s="4" t="s">
        <v>714</v>
      </c>
      <c r="O4" s="4" t="s">
        <v>569</v>
      </c>
      <c r="P4" s="4">
        <v>11</v>
      </c>
      <c r="Q4" s="4" t="s">
        <v>592</v>
      </c>
      <c r="R4" s="4" t="s">
        <v>20</v>
      </c>
      <c r="S4" s="4" t="s">
        <v>21</v>
      </c>
      <c r="T4" s="4" t="s">
        <v>333</v>
      </c>
      <c r="U4" s="4" t="s">
        <v>406</v>
      </c>
      <c r="V4" s="4" t="s">
        <v>387</v>
      </c>
      <c r="W4" s="4" t="s">
        <v>576</v>
      </c>
      <c r="X4" s="4" t="s">
        <v>436</v>
      </c>
      <c r="Y4" s="4" t="s">
        <v>692</v>
      </c>
      <c r="Z4" s="4" t="s">
        <v>460</v>
      </c>
      <c r="AA4" s="4" t="s">
        <v>593</v>
      </c>
      <c r="AB4" s="4" t="s">
        <v>464</v>
      </c>
      <c r="AC4" s="4" t="s">
        <v>514</v>
      </c>
    </row>
    <row r="5" spans="1:29" x14ac:dyDescent="0.25">
      <c r="A5" s="4">
        <v>200</v>
      </c>
      <c r="B5" s="4" t="s">
        <v>130</v>
      </c>
      <c r="C5" s="4" t="s">
        <v>599</v>
      </c>
      <c r="D5" s="4" t="s">
        <v>147</v>
      </c>
      <c r="E5" s="4" t="s">
        <v>837</v>
      </c>
      <c r="F5" s="4" t="s">
        <v>836</v>
      </c>
      <c r="G5" s="4" t="s">
        <v>669</v>
      </c>
      <c r="H5" s="4" t="s">
        <v>712</v>
      </c>
      <c r="I5" s="4" t="s">
        <v>713</v>
      </c>
      <c r="J5" s="5" t="s">
        <v>765</v>
      </c>
      <c r="K5" s="5" t="s">
        <v>775</v>
      </c>
      <c r="L5" s="5" t="s">
        <v>776</v>
      </c>
      <c r="M5" s="4">
        <f>VLOOKUP(TabINV2026[[#This Row],[Estado2]],Tabla!$A$2:$B$6,2,FALSE)</f>
        <v>1</v>
      </c>
      <c r="N5" s="4" t="s">
        <v>757</v>
      </c>
      <c r="O5" s="4" t="s">
        <v>571</v>
      </c>
      <c r="P5" s="4">
        <v>2</v>
      </c>
      <c r="Q5" s="4" t="s">
        <v>594</v>
      </c>
      <c r="R5" s="4" t="s">
        <v>20</v>
      </c>
      <c r="S5" s="4" t="s">
        <v>21</v>
      </c>
      <c r="T5" s="4" t="s">
        <v>334</v>
      </c>
      <c r="U5" s="4" t="s">
        <v>676</v>
      </c>
      <c r="V5" s="4" t="s">
        <v>388</v>
      </c>
      <c r="W5" s="4" t="s">
        <v>576</v>
      </c>
      <c r="X5" s="4" t="s">
        <v>437</v>
      </c>
      <c r="Y5" s="4" t="s">
        <v>693</v>
      </c>
      <c r="Z5" s="4" t="s">
        <v>461</v>
      </c>
      <c r="AA5" s="4" t="s">
        <v>595</v>
      </c>
      <c r="AB5" s="4" t="s">
        <v>465</v>
      </c>
      <c r="AC5" s="4" t="s">
        <v>515</v>
      </c>
    </row>
    <row r="6" spans="1:29" x14ac:dyDescent="0.25">
      <c r="A6" s="4">
        <v>200</v>
      </c>
      <c r="B6" s="4" t="s">
        <v>183</v>
      </c>
      <c r="C6" s="4" t="s">
        <v>596</v>
      </c>
      <c r="D6" s="4" t="s">
        <v>308</v>
      </c>
      <c r="E6" s="4" t="s">
        <v>310</v>
      </c>
      <c r="F6" s="4" t="s">
        <v>309</v>
      </c>
      <c r="G6" s="4"/>
      <c r="H6" s="4" t="s">
        <v>712</v>
      </c>
      <c r="I6" s="6" t="s">
        <v>713</v>
      </c>
      <c r="J6" s="5" t="s">
        <v>765</v>
      </c>
      <c r="K6" s="5" t="s">
        <v>775</v>
      </c>
      <c r="L6" s="5" t="s">
        <v>776</v>
      </c>
      <c r="M6" s="4">
        <f>VLOOKUP(TabINV2026[[#This Row],[Estado2]],Tabla!$A$2:$B$6,2,FALSE)</f>
        <v>1</v>
      </c>
      <c r="N6" s="4" t="s">
        <v>757</v>
      </c>
      <c r="O6" s="4" t="s">
        <v>571</v>
      </c>
      <c r="P6" s="4">
        <v>7</v>
      </c>
      <c r="Q6" s="4" t="s">
        <v>597</v>
      </c>
      <c r="R6" s="4" t="s">
        <v>20</v>
      </c>
      <c r="S6" s="4" t="s">
        <v>21</v>
      </c>
      <c r="T6" s="4" t="s">
        <v>335</v>
      </c>
      <c r="U6" s="4" t="s">
        <v>677</v>
      </c>
      <c r="V6" s="4" t="s">
        <v>389</v>
      </c>
      <c r="W6" s="4" t="s">
        <v>576</v>
      </c>
      <c r="X6" s="4" t="s">
        <v>419</v>
      </c>
      <c r="Y6" s="4" t="s">
        <v>693</v>
      </c>
      <c r="Z6" s="4" t="s">
        <v>462</v>
      </c>
      <c r="AA6" s="4" t="s">
        <v>598</v>
      </c>
      <c r="AB6" s="4" t="s">
        <v>466</v>
      </c>
      <c r="AC6" s="4" t="s">
        <v>516</v>
      </c>
    </row>
    <row r="7" spans="1:29" x14ac:dyDescent="0.25">
      <c r="A7" s="4">
        <v>200</v>
      </c>
      <c r="B7" s="4" t="s">
        <v>130</v>
      </c>
      <c r="C7" s="4" t="s">
        <v>599</v>
      </c>
      <c r="D7" s="4" t="s">
        <v>109</v>
      </c>
      <c r="E7" s="4" t="s">
        <v>133</v>
      </c>
      <c r="F7" s="4" t="s">
        <v>527</v>
      </c>
      <c r="G7" s="4" t="s">
        <v>669</v>
      </c>
      <c r="H7" s="4" t="s">
        <v>712</v>
      </c>
      <c r="I7" s="4" t="s">
        <v>715</v>
      </c>
      <c r="J7" s="5" t="s">
        <v>765</v>
      </c>
      <c r="K7" s="5" t="s">
        <v>775</v>
      </c>
      <c r="L7" s="5" t="s">
        <v>776</v>
      </c>
      <c r="M7" s="4">
        <f>VLOOKUP(TabINV2026[[#This Row],[Estado2]],Tabla!$A$2:$B$6,2,FALSE)</f>
        <v>2</v>
      </c>
      <c r="N7" s="4" t="s">
        <v>757</v>
      </c>
      <c r="O7" s="4" t="s">
        <v>571</v>
      </c>
      <c r="P7" s="4">
        <v>7</v>
      </c>
      <c r="Q7" s="4" t="s">
        <v>597</v>
      </c>
      <c r="R7" s="4" t="s">
        <v>20</v>
      </c>
      <c r="S7" s="4" t="s">
        <v>21</v>
      </c>
      <c r="T7" s="4" t="s">
        <v>336</v>
      </c>
      <c r="U7" s="4" t="s">
        <v>677</v>
      </c>
      <c r="V7" s="4" t="s">
        <v>390</v>
      </c>
      <c r="W7" s="4" t="s">
        <v>576</v>
      </c>
      <c r="X7" s="4" t="s">
        <v>438</v>
      </c>
      <c r="Y7" s="4" t="s">
        <v>693</v>
      </c>
      <c r="Z7" s="4" t="s">
        <v>463</v>
      </c>
      <c r="AA7" s="4" t="s">
        <v>479</v>
      </c>
      <c r="AB7" s="4" t="s">
        <v>467</v>
      </c>
      <c r="AC7" s="4" t="s">
        <v>517</v>
      </c>
    </row>
    <row r="8" spans="1:29" x14ac:dyDescent="0.25">
      <c r="A8" s="4">
        <v>200</v>
      </c>
      <c r="B8" s="4" t="s">
        <v>130</v>
      </c>
      <c r="C8" s="4" t="s">
        <v>599</v>
      </c>
      <c r="D8" s="4" t="s">
        <v>144</v>
      </c>
      <c r="E8" s="4" t="s">
        <v>143</v>
      </c>
      <c r="F8" s="4" t="s">
        <v>760</v>
      </c>
      <c r="G8" s="4"/>
      <c r="H8" s="4" t="s">
        <v>712</v>
      </c>
      <c r="I8" s="4" t="s">
        <v>713</v>
      </c>
      <c r="J8" s="5" t="s">
        <v>765</v>
      </c>
      <c r="K8" s="48" t="s">
        <v>777</v>
      </c>
      <c r="L8" s="48" t="s">
        <v>778</v>
      </c>
      <c r="M8" s="4">
        <f>VLOOKUP(TabINV2026[[#This Row],[Estado2]],Tabla!$A$2:$B$6,2,FALSE)</f>
        <v>1</v>
      </c>
      <c r="N8" s="4" t="s">
        <v>757</v>
      </c>
      <c r="O8" s="4" t="s">
        <v>571</v>
      </c>
      <c r="P8" s="4">
        <v>4</v>
      </c>
      <c r="Q8" s="4" t="s">
        <v>600</v>
      </c>
      <c r="R8" s="4" t="s">
        <v>20</v>
      </c>
      <c r="S8" s="4" t="s">
        <v>21</v>
      </c>
      <c r="T8" s="4" t="s">
        <v>337</v>
      </c>
      <c r="U8" s="4" t="s">
        <v>677</v>
      </c>
      <c r="V8" s="4" t="s">
        <v>391</v>
      </c>
      <c r="W8" s="4" t="s">
        <v>576</v>
      </c>
      <c r="X8" s="4" t="s">
        <v>278</v>
      </c>
      <c r="Y8" s="4" t="s">
        <v>693</v>
      </c>
      <c r="Z8" s="4" t="s">
        <v>451</v>
      </c>
      <c r="AA8" s="4" t="s">
        <v>601</v>
      </c>
      <c r="AB8" s="4" t="s">
        <v>468</v>
      </c>
      <c r="AC8" s="4" t="s">
        <v>518</v>
      </c>
    </row>
    <row r="9" spans="1:29" x14ac:dyDescent="0.25">
      <c r="A9" s="4">
        <v>200</v>
      </c>
      <c r="B9" s="4" t="s">
        <v>130</v>
      </c>
      <c r="C9" s="4" t="s">
        <v>599</v>
      </c>
      <c r="D9" s="4" t="s">
        <v>602</v>
      </c>
      <c r="E9" s="4" t="s">
        <v>150</v>
      </c>
      <c r="F9" s="4" t="s">
        <v>529</v>
      </c>
      <c r="G9" s="4"/>
      <c r="H9" s="4" t="s">
        <v>712</v>
      </c>
      <c r="I9" s="4" t="s">
        <v>744</v>
      </c>
      <c r="J9" s="5" t="s">
        <v>765</v>
      </c>
      <c r="K9" s="48" t="s">
        <v>777</v>
      </c>
      <c r="L9" s="48" t="s">
        <v>778</v>
      </c>
      <c r="M9" s="4">
        <f>VLOOKUP(TabINV2026[[#This Row],[Estado2]],Tabla!$A$2:$B$6,2,FALSE)</f>
        <v>3</v>
      </c>
      <c r="N9" s="4" t="s">
        <v>758</v>
      </c>
      <c r="O9" s="4" t="s">
        <v>569</v>
      </c>
      <c r="P9" s="4">
        <v>11</v>
      </c>
      <c r="Q9" s="4" t="s">
        <v>603</v>
      </c>
      <c r="R9" s="4" t="s">
        <v>20</v>
      </c>
      <c r="S9" s="4" t="s">
        <v>21</v>
      </c>
      <c r="T9" s="4" t="s">
        <v>338</v>
      </c>
      <c r="U9" s="4" t="s">
        <v>677</v>
      </c>
      <c r="V9" s="4" t="s">
        <v>392</v>
      </c>
      <c r="W9" s="4" t="s">
        <v>576</v>
      </c>
      <c r="X9" s="4" t="s">
        <v>439</v>
      </c>
      <c r="Y9" s="4" t="s">
        <v>692</v>
      </c>
      <c r="Z9" s="4" t="s">
        <v>444</v>
      </c>
      <c r="AA9" s="4" t="s">
        <v>604</v>
      </c>
      <c r="AB9" s="4" t="s">
        <v>469</v>
      </c>
      <c r="AC9" s="4" t="s">
        <v>519</v>
      </c>
    </row>
    <row r="10" spans="1:29" x14ac:dyDescent="0.25">
      <c r="A10" s="4">
        <v>200</v>
      </c>
      <c r="B10" s="4" t="s">
        <v>130</v>
      </c>
      <c r="C10" s="4" t="s">
        <v>599</v>
      </c>
      <c r="D10" s="4" t="s">
        <v>140</v>
      </c>
      <c r="E10" s="4" t="s">
        <v>558</v>
      </c>
      <c r="F10" s="4" t="s">
        <v>530</v>
      </c>
      <c r="G10" s="4"/>
      <c r="H10" s="4" t="s">
        <v>712</v>
      </c>
      <c r="I10" s="4" t="s">
        <v>715</v>
      </c>
      <c r="J10" s="5" t="s">
        <v>765</v>
      </c>
      <c r="K10" s="48" t="s">
        <v>777</v>
      </c>
      <c r="L10" s="48" t="s">
        <v>778</v>
      </c>
      <c r="M10" s="4">
        <f>VLOOKUP(TabINV2026[[#This Row],[Estado2]],Tabla!$A$2:$B$6,2,FALSE)</f>
        <v>2</v>
      </c>
      <c r="N10" s="4" t="s">
        <v>757</v>
      </c>
      <c r="O10" s="4" t="s">
        <v>675</v>
      </c>
      <c r="P10" s="4">
        <v>5</v>
      </c>
      <c r="Q10" s="4" t="s">
        <v>605</v>
      </c>
      <c r="R10" s="4" t="s">
        <v>20</v>
      </c>
      <c r="S10" s="4" t="s">
        <v>21</v>
      </c>
      <c r="T10" s="4" t="s">
        <v>339</v>
      </c>
      <c r="U10" s="4" t="s">
        <v>677</v>
      </c>
      <c r="V10" s="4" t="s">
        <v>393</v>
      </c>
      <c r="W10" s="4" t="s">
        <v>576</v>
      </c>
      <c r="X10" s="4" t="s">
        <v>278</v>
      </c>
      <c r="Y10" s="4" t="s">
        <v>692</v>
      </c>
      <c r="Z10" s="4" t="s">
        <v>444</v>
      </c>
      <c r="AA10" s="4" t="s">
        <v>606</v>
      </c>
      <c r="AB10" s="4" t="s">
        <v>332</v>
      </c>
      <c r="AC10" s="4" t="s">
        <v>520</v>
      </c>
    </row>
    <row r="11" spans="1:29" x14ac:dyDescent="0.25">
      <c r="A11" s="4">
        <v>200</v>
      </c>
      <c r="B11" s="4" t="s">
        <v>183</v>
      </c>
      <c r="C11" s="4" t="s">
        <v>596</v>
      </c>
      <c r="D11" s="4" t="s">
        <v>203</v>
      </c>
      <c r="E11" s="4" t="s">
        <v>202</v>
      </c>
      <c r="F11" s="4" t="s">
        <v>279</v>
      </c>
      <c r="G11" s="4"/>
      <c r="H11" s="4" t="s">
        <v>712</v>
      </c>
      <c r="I11" s="4" t="s">
        <v>715</v>
      </c>
      <c r="J11" s="5" t="s">
        <v>765</v>
      </c>
      <c r="K11" s="5" t="s">
        <v>775</v>
      </c>
      <c r="L11" s="5" t="s">
        <v>776</v>
      </c>
      <c r="M11" s="4">
        <f>VLOOKUP(TabINV2026[[#This Row],[Estado2]],Tabla!$A$2:$B$6,2,FALSE)</f>
        <v>2</v>
      </c>
      <c r="N11" s="4" t="s">
        <v>757</v>
      </c>
      <c r="O11" s="4" t="s">
        <v>675</v>
      </c>
      <c r="P11" s="4">
        <v>5</v>
      </c>
      <c r="Q11" s="4" t="s">
        <v>607</v>
      </c>
      <c r="R11" s="4" t="s">
        <v>20</v>
      </c>
      <c r="S11" s="4" t="s">
        <v>21</v>
      </c>
      <c r="T11" s="4" t="s">
        <v>340</v>
      </c>
      <c r="U11" s="4" t="s">
        <v>677</v>
      </c>
      <c r="V11" s="4" t="s">
        <v>394</v>
      </c>
      <c r="W11" s="4" t="s">
        <v>576</v>
      </c>
      <c r="X11" s="4" t="s">
        <v>278</v>
      </c>
      <c r="Y11" s="4" t="s">
        <v>694</v>
      </c>
      <c r="Z11" s="4" t="s">
        <v>453</v>
      </c>
      <c r="AA11" s="4" t="s">
        <v>608</v>
      </c>
      <c r="AB11" s="4" t="s">
        <v>470</v>
      </c>
      <c r="AC11" s="4" t="s">
        <v>521</v>
      </c>
    </row>
    <row r="12" spans="1:29" x14ac:dyDescent="0.25">
      <c r="A12" s="4">
        <v>200</v>
      </c>
      <c r="B12" s="4" t="s">
        <v>183</v>
      </c>
      <c r="C12" s="4" t="s">
        <v>596</v>
      </c>
      <c r="D12" s="4" t="s">
        <v>323</v>
      </c>
      <c r="E12" s="4" t="s">
        <v>202</v>
      </c>
      <c r="F12" s="4" t="s">
        <v>609</v>
      </c>
      <c r="G12" s="4" t="s">
        <v>596</v>
      </c>
      <c r="H12" s="4" t="s">
        <v>712</v>
      </c>
      <c r="I12" s="4" t="s">
        <v>715</v>
      </c>
      <c r="J12" s="5" t="s">
        <v>765</v>
      </c>
      <c r="K12" s="5" t="s">
        <v>775</v>
      </c>
      <c r="L12" s="5" t="s">
        <v>776</v>
      </c>
      <c r="M12" s="4">
        <f>VLOOKUP(TabINV2026[[#This Row],[Estado2]],Tabla!$A$2:$B$6,2,FALSE)</f>
        <v>2</v>
      </c>
      <c r="N12" s="4" t="s">
        <v>757</v>
      </c>
      <c r="O12" s="4" t="s">
        <v>569</v>
      </c>
      <c r="P12" s="4">
        <v>8</v>
      </c>
      <c r="Q12" s="4" t="s">
        <v>610</v>
      </c>
      <c r="R12" s="4" t="s">
        <v>40</v>
      </c>
      <c r="S12" s="4" t="s">
        <v>688</v>
      </c>
      <c r="T12" s="4" t="s">
        <v>280</v>
      </c>
      <c r="U12" s="4" t="s">
        <v>679</v>
      </c>
      <c r="V12" s="4" t="s">
        <v>680</v>
      </c>
      <c r="W12" s="4" t="s">
        <v>576</v>
      </c>
      <c r="X12" s="4" t="s">
        <v>278</v>
      </c>
      <c r="Y12" s="4" t="s">
        <v>691</v>
      </c>
      <c r="Z12" s="4">
        <v>15.6</v>
      </c>
      <c r="AA12" s="4" t="s">
        <v>611</v>
      </c>
      <c r="AB12" s="4" t="s">
        <v>367</v>
      </c>
      <c r="AC12" s="4" t="s">
        <v>612</v>
      </c>
    </row>
    <row r="13" spans="1:29" x14ac:dyDescent="0.25">
      <c r="A13" s="4">
        <v>200</v>
      </c>
      <c r="B13" s="4" t="s">
        <v>183</v>
      </c>
      <c r="C13" s="4" t="s">
        <v>596</v>
      </c>
      <c r="D13" s="4" t="s">
        <v>217</v>
      </c>
      <c r="E13" s="4" t="s">
        <v>216</v>
      </c>
      <c r="F13" s="4" t="s">
        <v>531</v>
      </c>
      <c r="G13" s="4" t="s">
        <v>596</v>
      </c>
      <c r="H13" s="4" t="s">
        <v>712</v>
      </c>
      <c r="I13" s="4" t="s">
        <v>713</v>
      </c>
      <c r="J13" s="5" t="s">
        <v>765</v>
      </c>
      <c r="K13" s="5" t="s">
        <v>775</v>
      </c>
      <c r="L13" s="5" t="s">
        <v>776</v>
      </c>
      <c r="M13" s="4">
        <f>VLOOKUP(TabINV2026[[#This Row],[Estado2]],Tabla!$A$2:$B$6,2,FALSE)</f>
        <v>1</v>
      </c>
      <c r="N13" s="4" t="s">
        <v>757</v>
      </c>
      <c r="O13" s="4" t="s">
        <v>569</v>
      </c>
      <c r="P13" s="4">
        <v>3</v>
      </c>
      <c r="Q13" s="4" t="s">
        <v>613</v>
      </c>
      <c r="R13" s="4" t="s">
        <v>20</v>
      </c>
      <c r="S13" s="4" t="s">
        <v>21</v>
      </c>
      <c r="T13" s="4" t="s">
        <v>341</v>
      </c>
      <c r="U13" s="4" t="s">
        <v>676</v>
      </c>
      <c r="V13" s="4" t="s">
        <v>395</v>
      </c>
      <c r="W13" s="4" t="s">
        <v>576</v>
      </c>
      <c r="X13" s="4" t="s">
        <v>278</v>
      </c>
      <c r="Y13" s="4" t="s">
        <v>695</v>
      </c>
      <c r="Z13" s="4" t="s">
        <v>443</v>
      </c>
      <c r="AA13" s="4" t="s">
        <v>598</v>
      </c>
      <c r="AB13" s="4" t="s">
        <v>467</v>
      </c>
      <c r="AC13" s="4" t="s">
        <v>522</v>
      </c>
    </row>
    <row r="14" spans="1:29" x14ac:dyDescent="0.25">
      <c r="A14" s="4">
        <v>200</v>
      </c>
      <c r="B14" s="4" t="s">
        <v>183</v>
      </c>
      <c r="C14" s="4" t="s">
        <v>596</v>
      </c>
      <c r="D14" s="4" t="s">
        <v>311</v>
      </c>
      <c r="E14" s="4" t="s">
        <v>312</v>
      </c>
      <c r="F14" s="4" t="s">
        <v>313</v>
      </c>
      <c r="G14" s="4" t="s">
        <v>596</v>
      </c>
      <c r="H14" s="4" t="s">
        <v>712</v>
      </c>
      <c r="I14" s="4" t="s">
        <v>715</v>
      </c>
      <c r="J14" s="5" t="s">
        <v>765</v>
      </c>
      <c r="K14" s="5" t="s">
        <v>775</v>
      </c>
      <c r="L14" s="5" t="s">
        <v>776</v>
      </c>
      <c r="M14" s="4">
        <f>VLOOKUP(TabINV2026[[#This Row],[Estado2]],Tabla!$A$2:$B$6,2,FALSE)</f>
        <v>2</v>
      </c>
      <c r="N14" s="4" t="s">
        <v>757</v>
      </c>
      <c r="O14" s="4" t="s">
        <v>569</v>
      </c>
      <c r="P14" s="4">
        <v>6</v>
      </c>
      <c r="Q14" s="4" t="s">
        <v>117</v>
      </c>
      <c r="R14" s="4" t="s">
        <v>20</v>
      </c>
      <c r="S14" s="4" t="s">
        <v>21</v>
      </c>
      <c r="T14" s="4" t="s">
        <v>342</v>
      </c>
      <c r="U14" s="4" t="s">
        <v>677</v>
      </c>
      <c r="V14" s="4" t="s">
        <v>396</v>
      </c>
      <c r="W14" s="4" t="s">
        <v>576</v>
      </c>
      <c r="X14" s="4" t="s">
        <v>440</v>
      </c>
      <c r="Y14" s="4" t="s">
        <v>694</v>
      </c>
      <c r="Z14" s="4" t="s">
        <v>453</v>
      </c>
      <c r="AA14" s="4" t="s">
        <v>598</v>
      </c>
      <c r="AB14" s="4" t="s">
        <v>332</v>
      </c>
      <c r="AC14" s="4" t="s">
        <v>523</v>
      </c>
    </row>
    <row r="15" spans="1:29" x14ac:dyDescent="0.25">
      <c r="A15" s="4">
        <v>200</v>
      </c>
      <c r="B15" s="4" t="s">
        <v>183</v>
      </c>
      <c r="C15" s="4" t="s">
        <v>596</v>
      </c>
      <c r="D15" s="4" t="s">
        <v>209</v>
      </c>
      <c r="E15" s="4" t="s">
        <v>208</v>
      </c>
      <c r="F15" s="4" t="s">
        <v>532</v>
      </c>
      <c r="G15" s="4" t="s">
        <v>596</v>
      </c>
      <c r="H15" s="4" t="s">
        <v>712</v>
      </c>
      <c r="I15" s="4" t="s">
        <v>713</v>
      </c>
      <c r="J15" s="5" t="s">
        <v>765</v>
      </c>
      <c r="K15" s="5" t="s">
        <v>775</v>
      </c>
      <c r="L15" s="5" t="s">
        <v>776</v>
      </c>
      <c r="M15" s="4">
        <f>VLOOKUP(TabINV2026[[#This Row],[Estado2]],Tabla!$A$2:$B$6,2,FALSE)</f>
        <v>1</v>
      </c>
      <c r="N15" s="4" t="s">
        <v>757</v>
      </c>
      <c r="O15" s="4" t="s">
        <v>569</v>
      </c>
      <c r="P15" s="4">
        <v>3</v>
      </c>
      <c r="Q15" s="4" t="s">
        <v>377</v>
      </c>
      <c r="R15" s="4" t="s">
        <v>20</v>
      </c>
      <c r="S15" s="4" t="s">
        <v>21</v>
      </c>
      <c r="T15" s="4" t="s">
        <v>343</v>
      </c>
      <c r="U15" s="4" t="s">
        <v>676</v>
      </c>
      <c r="V15" s="4" t="s">
        <v>397</v>
      </c>
      <c r="W15" s="4" t="s">
        <v>576</v>
      </c>
      <c r="X15" s="4" t="s">
        <v>278</v>
      </c>
      <c r="Y15" s="4" t="s">
        <v>695</v>
      </c>
      <c r="Z15" s="4" t="s">
        <v>443</v>
      </c>
      <c r="AA15" s="4" t="s">
        <v>614</v>
      </c>
      <c r="AB15" s="4" t="s">
        <v>332</v>
      </c>
      <c r="AC15" s="4" t="s">
        <v>524</v>
      </c>
    </row>
    <row r="16" spans="1:29" x14ac:dyDescent="0.25">
      <c r="A16" s="4">
        <v>200</v>
      </c>
      <c r="B16" s="4" t="s">
        <v>183</v>
      </c>
      <c r="C16" s="4" t="s">
        <v>596</v>
      </c>
      <c r="D16" s="4" t="s">
        <v>222</v>
      </c>
      <c r="E16" s="4" t="s">
        <v>221</v>
      </c>
      <c r="F16" s="4" t="s">
        <v>533</v>
      </c>
      <c r="G16" s="4" t="s">
        <v>596</v>
      </c>
      <c r="H16" s="4" t="s">
        <v>712</v>
      </c>
      <c r="I16" s="4" t="s">
        <v>715</v>
      </c>
      <c r="J16" s="5" t="s">
        <v>765</v>
      </c>
      <c r="K16" s="5" t="s">
        <v>775</v>
      </c>
      <c r="L16" s="5" t="s">
        <v>776</v>
      </c>
      <c r="M16" s="4">
        <f>VLOOKUP(TabINV2026[[#This Row],[Estado2]],Tabla!$A$2:$B$6,2,FALSE)</f>
        <v>2</v>
      </c>
      <c r="N16" s="4" t="s">
        <v>757</v>
      </c>
      <c r="O16" s="4" t="s">
        <v>571</v>
      </c>
      <c r="P16" s="4">
        <v>7</v>
      </c>
      <c r="Q16" s="4" t="s">
        <v>213</v>
      </c>
      <c r="R16" s="4" t="s">
        <v>214</v>
      </c>
      <c r="S16" s="4" t="s">
        <v>689</v>
      </c>
      <c r="T16" s="4" t="s">
        <v>344</v>
      </c>
      <c r="U16" s="4" t="s">
        <v>677</v>
      </c>
      <c r="V16" s="4" t="s">
        <v>396</v>
      </c>
      <c r="W16" s="4" t="s">
        <v>576</v>
      </c>
      <c r="X16" s="4" t="s">
        <v>278</v>
      </c>
      <c r="Y16" s="4" t="s">
        <v>696</v>
      </c>
      <c r="Z16" s="4" t="s">
        <v>441</v>
      </c>
      <c r="AA16" s="4" t="s">
        <v>615</v>
      </c>
      <c r="AB16" s="4" t="s">
        <v>471</v>
      </c>
      <c r="AC16" s="4" t="s">
        <v>485</v>
      </c>
    </row>
    <row r="17" spans="1:29" x14ac:dyDescent="0.25">
      <c r="A17" s="4">
        <v>200</v>
      </c>
      <c r="B17" s="4" t="s">
        <v>183</v>
      </c>
      <c r="C17" s="4" t="s">
        <v>596</v>
      </c>
      <c r="D17" s="4" t="s">
        <v>314</v>
      </c>
      <c r="E17" s="4" t="s">
        <v>559</v>
      </c>
      <c r="F17" s="4" t="s">
        <v>761</v>
      </c>
      <c r="G17" s="4"/>
      <c r="H17" s="4" t="s">
        <v>712</v>
      </c>
      <c r="I17" s="4" t="s">
        <v>715</v>
      </c>
      <c r="J17" s="5" t="s">
        <v>765</v>
      </c>
      <c r="K17" s="5" t="s">
        <v>775</v>
      </c>
      <c r="L17" s="5" t="s">
        <v>776</v>
      </c>
      <c r="M17" s="4">
        <f>VLOOKUP(TabINV2026[[#This Row],[Estado2]],Tabla!$A$2:$B$6,2,FALSE)</f>
        <v>2</v>
      </c>
      <c r="N17" s="4" t="s">
        <v>757</v>
      </c>
      <c r="O17" s="4" t="s">
        <v>570</v>
      </c>
      <c r="P17" s="4">
        <v>4</v>
      </c>
      <c r="Q17" s="4" t="s">
        <v>378</v>
      </c>
      <c r="R17" s="4" t="s">
        <v>20</v>
      </c>
      <c r="S17" s="4" t="s">
        <v>21</v>
      </c>
      <c r="T17" s="4" t="s">
        <v>337</v>
      </c>
      <c r="U17" s="4" t="s">
        <v>677</v>
      </c>
      <c r="V17" s="4" t="s">
        <v>398</v>
      </c>
      <c r="W17" s="4" t="s">
        <v>576</v>
      </c>
      <c r="X17" s="4" t="s">
        <v>418</v>
      </c>
      <c r="Y17" s="4" t="s">
        <v>694</v>
      </c>
      <c r="Z17" s="4" t="s">
        <v>442</v>
      </c>
      <c r="AA17" s="4" t="s">
        <v>616</v>
      </c>
      <c r="AB17" s="4" t="s">
        <v>472</v>
      </c>
      <c r="AC17" s="4" t="s">
        <v>486</v>
      </c>
    </row>
    <row r="18" spans="1:29" x14ac:dyDescent="0.25">
      <c r="A18" s="4">
        <v>200</v>
      </c>
      <c r="B18" s="4" t="s">
        <v>183</v>
      </c>
      <c r="C18" s="4" t="s">
        <v>596</v>
      </c>
      <c r="D18" s="4" t="s">
        <v>206</v>
      </c>
      <c r="E18" s="4" t="s">
        <v>205</v>
      </c>
      <c r="F18" s="4" t="s">
        <v>534</v>
      </c>
      <c r="G18" s="4" t="s">
        <v>596</v>
      </c>
      <c r="H18" s="4" t="s">
        <v>712</v>
      </c>
      <c r="I18" s="4" t="s">
        <v>715</v>
      </c>
      <c r="J18" s="5" t="s">
        <v>765</v>
      </c>
      <c r="K18" s="5" t="s">
        <v>775</v>
      </c>
      <c r="L18" s="5" t="s">
        <v>776</v>
      </c>
      <c r="M18" s="4">
        <f>VLOOKUP(TabINV2026[[#This Row],[Estado2]],Tabla!$A$2:$B$6,2,FALSE)</f>
        <v>2</v>
      </c>
      <c r="N18" s="4" t="s">
        <v>757</v>
      </c>
      <c r="O18" s="4" t="s">
        <v>571</v>
      </c>
      <c r="P18" s="4">
        <v>7</v>
      </c>
      <c r="Q18" s="4" t="s">
        <v>134</v>
      </c>
      <c r="R18" s="4" t="s">
        <v>20</v>
      </c>
      <c r="S18" s="4" t="s">
        <v>21</v>
      </c>
      <c r="T18" s="4" t="s">
        <v>345</v>
      </c>
      <c r="U18" s="4" t="s">
        <v>677</v>
      </c>
      <c r="V18" s="4" t="s">
        <v>399</v>
      </c>
      <c r="W18" s="4" t="s">
        <v>576</v>
      </c>
      <c r="X18" s="4" t="s">
        <v>419</v>
      </c>
      <c r="Y18" s="4" t="s">
        <v>695</v>
      </c>
      <c r="Z18" s="4" t="s">
        <v>443</v>
      </c>
      <c r="AA18" s="4" t="s">
        <v>617</v>
      </c>
      <c r="AB18" s="4" t="s">
        <v>473</v>
      </c>
      <c r="AC18" s="4" t="s">
        <v>487</v>
      </c>
    </row>
    <row r="19" spans="1:29" x14ac:dyDescent="0.25">
      <c r="A19" s="4">
        <v>200</v>
      </c>
      <c r="B19" s="4" t="s">
        <v>183</v>
      </c>
      <c r="C19" s="4" t="s">
        <v>596</v>
      </c>
      <c r="D19" s="4" t="s">
        <v>212</v>
      </c>
      <c r="E19" s="4" t="s">
        <v>211</v>
      </c>
      <c r="F19" s="4" t="s">
        <v>535</v>
      </c>
      <c r="G19" s="4"/>
      <c r="H19" s="4" t="s">
        <v>712</v>
      </c>
      <c r="I19" s="4" t="s">
        <v>715</v>
      </c>
      <c r="J19" s="5" t="s">
        <v>765</v>
      </c>
      <c r="K19" s="5" t="s">
        <v>777</v>
      </c>
      <c r="L19" s="5" t="s">
        <v>778</v>
      </c>
      <c r="M19" s="4">
        <f>VLOOKUP(TabINV2026[[#This Row],[Estado2]],Tabla!$A$2:$B$6,2,FALSE)</f>
        <v>2</v>
      </c>
      <c r="N19" s="4" t="s">
        <v>757</v>
      </c>
      <c r="O19" s="4" t="s">
        <v>571</v>
      </c>
      <c r="P19" s="4">
        <v>7</v>
      </c>
      <c r="Q19" s="4" t="s">
        <v>213</v>
      </c>
      <c r="R19" s="4" t="s">
        <v>214</v>
      </c>
      <c r="S19" s="4" t="s">
        <v>689</v>
      </c>
      <c r="T19" s="4" t="s">
        <v>346</v>
      </c>
      <c r="U19" s="4" t="s">
        <v>677</v>
      </c>
      <c r="V19" s="4" t="s">
        <v>400</v>
      </c>
      <c r="W19" s="4" t="s">
        <v>576</v>
      </c>
      <c r="X19" s="4" t="s">
        <v>278</v>
      </c>
      <c r="Y19" s="4" t="s">
        <v>692</v>
      </c>
      <c r="Z19" s="4" t="s">
        <v>444</v>
      </c>
      <c r="AA19" s="4" t="s">
        <v>618</v>
      </c>
      <c r="AB19" s="4" t="s">
        <v>474</v>
      </c>
      <c r="AC19" s="4" t="s">
        <v>488</v>
      </c>
    </row>
    <row r="20" spans="1:29" x14ac:dyDescent="0.25">
      <c r="A20" s="4">
        <v>200</v>
      </c>
      <c r="B20" s="4" t="s">
        <v>183</v>
      </c>
      <c r="C20" s="4" t="s">
        <v>596</v>
      </c>
      <c r="D20" s="4" t="s">
        <v>195</v>
      </c>
      <c r="E20" s="4" t="s">
        <v>194</v>
      </c>
      <c r="F20" s="4" t="s">
        <v>536</v>
      </c>
      <c r="G20" s="4"/>
      <c r="H20" s="4" t="s">
        <v>712</v>
      </c>
      <c r="I20" s="4" t="s">
        <v>715</v>
      </c>
      <c r="J20" s="5" t="s">
        <v>765</v>
      </c>
      <c r="K20" s="5" t="s">
        <v>777</v>
      </c>
      <c r="L20" s="5" t="s">
        <v>778</v>
      </c>
      <c r="M20" s="4">
        <f>VLOOKUP(TabINV2026[[#This Row],[Estado2]],Tabla!$A$2:$B$6,2,FALSE)</f>
        <v>2</v>
      </c>
      <c r="N20" s="4" t="s">
        <v>757</v>
      </c>
      <c r="O20" s="4" t="s">
        <v>569</v>
      </c>
      <c r="P20" s="4">
        <v>6</v>
      </c>
      <c r="Q20" s="4" t="s">
        <v>117</v>
      </c>
      <c r="R20" s="4" t="s">
        <v>20</v>
      </c>
      <c r="S20" s="4" t="s">
        <v>21</v>
      </c>
      <c r="T20" s="4" t="s">
        <v>347</v>
      </c>
      <c r="U20" s="4" t="s">
        <v>677</v>
      </c>
      <c r="V20" s="4" t="s">
        <v>400</v>
      </c>
      <c r="W20" s="4" t="s">
        <v>576</v>
      </c>
      <c r="X20" s="4" t="s">
        <v>419</v>
      </c>
      <c r="Y20" s="4" t="s">
        <v>696</v>
      </c>
      <c r="Z20" s="4" t="s">
        <v>445</v>
      </c>
      <c r="AA20" s="4" t="s">
        <v>614</v>
      </c>
      <c r="AB20" s="4" t="s">
        <v>475</v>
      </c>
      <c r="AC20" s="4" t="s">
        <v>489</v>
      </c>
    </row>
    <row r="21" spans="1:29" hidden="1" x14ac:dyDescent="0.25">
      <c r="A21" s="4">
        <v>200</v>
      </c>
      <c r="B21" s="4" t="s">
        <v>183</v>
      </c>
      <c r="C21" s="4" t="s">
        <v>596</v>
      </c>
      <c r="D21" s="4" t="s">
        <v>219</v>
      </c>
      <c r="E21" s="4" t="s">
        <v>559</v>
      </c>
      <c r="F21" s="4" t="s">
        <v>537</v>
      </c>
      <c r="G21" s="4" t="s">
        <v>596</v>
      </c>
      <c r="H21" s="4" t="s">
        <v>712</v>
      </c>
      <c r="I21" s="4" t="s">
        <v>714</v>
      </c>
      <c r="J21" s="5" t="s">
        <v>765</v>
      </c>
      <c r="K21" s="5" t="s">
        <v>775</v>
      </c>
      <c r="L21" s="5" t="s">
        <v>776</v>
      </c>
      <c r="M21" s="4">
        <f>VLOOKUP(TabINV2026[[#This Row],[Estado2]],Tabla!$A$2:$B$6,2,FALSE)</f>
        <v>5</v>
      </c>
      <c r="N21" s="4" t="s">
        <v>714</v>
      </c>
      <c r="O21" s="4" t="s">
        <v>570</v>
      </c>
      <c r="P21" s="4">
        <v>11</v>
      </c>
      <c r="Q21" s="4" t="s">
        <v>165</v>
      </c>
      <c r="R21" s="4" t="s">
        <v>20</v>
      </c>
      <c r="S21" s="4" t="s">
        <v>21</v>
      </c>
      <c r="T21" s="4" t="s">
        <v>348</v>
      </c>
      <c r="U21" s="4" t="s">
        <v>406</v>
      </c>
      <c r="V21" s="4" t="s">
        <v>401</v>
      </c>
      <c r="W21" s="4" t="s">
        <v>683</v>
      </c>
      <c r="X21" s="4" t="s">
        <v>420</v>
      </c>
      <c r="Y21" s="4" t="s">
        <v>692</v>
      </c>
      <c r="Z21" s="4" t="s">
        <v>444</v>
      </c>
      <c r="AA21" s="4" t="s">
        <v>619</v>
      </c>
      <c r="AB21" s="4" t="s">
        <v>476</v>
      </c>
      <c r="AC21" s="4" t="s">
        <v>490</v>
      </c>
    </row>
    <row r="22" spans="1:29" hidden="1" x14ac:dyDescent="0.25">
      <c r="A22" s="4">
        <v>200</v>
      </c>
      <c r="B22" s="4" t="s">
        <v>183</v>
      </c>
      <c r="C22" s="4" t="s">
        <v>596</v>
      </c>
      <c r="D22" s="4" t="s">
        <v>620</v>
      </c>
      <c r="E22" s="4" t="s">
        <v>199</v>
      </c>
      <c r="F22" s="4" t="s">
        <v>538</v>
      </c>
      <c r="G22" s="4" t="s">
        <v>596</v>
      </c>
      <c r="H22" s="4" t="s">
        <v>712</v>
      </c>
      <c r="I22" s="4" t="s">
        <v>714</v>
      </c>
      <c r="J22" s="5" t="s">
        <v>765</v>
      </c>
      <c r="K22" s="5" t="s">
        <v>775</v>
      </c>
      <c r="L22" s="5" t="s">
        <v>776</v>
      </c>
      <c r="M22" s="4">
        <f>VLOOKUP(TabINV2026[[#This Row],[Estado2]],Tabla!$A$2:$B$6,2,FALSE)</f>
        <v>5</v>
      </c>
      <c r="N22" s="4" t="s">
        <v>714</v>
      </c>
      <c r="O22" s="4" t="s">
        <v>570</v>
      </c>
      <c r="P22" s="4">
        <v>11</v>
      </c>
      <c r="Q22" s="4" t="s">
        <v>165</v>
      </c>
      <c r="R22" s="4" t="s">
        <v>20</v>
      </c>
      <c r="S22" s="4" t="s">
        <v>21</v>
      </c>
      <c r="T22" s="4" t="s">
        <v>349</v>
      </c>
      <c r="U22" s="4" t="s">
        <v>406</v>
      </c>
      <c r="V22" s="4" t="s">
        <v>401</v>
      </c>
      <c r="W22" s="4" t="s">
        <v>682</v>
      </c>
      <c r="X22" s="4" t="s">
        <v>421</v>
      </c>
      <c r="Y22" s="4" t="s">
        <v>695</v>
      </c>
      <c r="Z22" s="4" t="s">
        <v>446</v>
      </c>
      <c r="AA22" s="4" t="s">
        <v>621</v>
      </c>
      <c r="AB22" s="4" t="s">
        <v>476</v>
      </c>
      <c r="AC22" s="4" t="s">
        <v>491</v>
      </c>
    </row>
    <row r="23" spans="1:29" x14ac:dyDescent="0.25">
      <c r="A23" s="4">
        <v>200</v>
      </c>
      <c r="B23" s="4" t="s">
        <v>183</v>
      </c>
      <c r="C23" s="4" t="s">
        <v>596</v>
      </c>
      <c r="D23" s="4" t="s">
        <v>191</v>
      </c>
      <c r="E23" s="4" t="s">
        <v>190</v>
      </c>
      <c r="F23" s="4" t="s">
        <v>539</v>
      </c>
      <c r="G23" s="4" t="s">
        <v>596</v>
      </c>
      <c r="H23" s="4" t="s">
        <v>712</v>
      </c>
      <c r="I23" s="4" t="s">
        <v>744</v>
      </c>
      <c r="J23" s="5" t="s">
        <v>765</v>
      </c>
      <c r="K23" s="5" t="s">
        <v>775</v>
      </c>
      <c r="L23" s="5" t="s">
        <v>776</v>
      </c>
      <c r="M23" s="4">
        <f>VLOOKUP(TabINV2026[[#This Row],[Estado2]],Tabla!$A$2:$B$6,2,FALSE)</f>
        <v>3</v>
      </c>
      <c r="N23" s="4" t="s">
        <v>758</v>
      </c>
      <c r="O23" s="4" t="s">
        <v>569</v>
      </c>
      <c r="P23" s="4">
        <v>10</v>
      </c>
      <c r="Q23" s="4" t="s">
        <v>192</v>
      </c>
      <c r="R23" s="4" t="s">
        <v>20</v>
      </c>
      <c r="S23" s="4" t="s">
        <v>21</v>
      </c>
      <c r="T23" s="4" t="s">
        <v>350</v>
      </c>
      <c r="U23" s="4" t="s">
        <v>677</v>
      </c>
      <c r="V23" s="4" t="s">
        <v>402</v>
      </c>
      <c r="W23" s="4" t="s">
        <v>684</v>
      </c>
      <c r="X23" s="4" t="s">
        <v>422</v>
      </c>
      <c r="Y23" s="4" t="s">
        <v>692</v>
      </c>
      <c r="Z23" s="4" t="s">
        <v>447</v>
      </c>
      <c r="AA23" s="4" t="s">
        <v>622</v>
      </c>
      <c r="AB23" s="4" t="s">
        <v>332</v>
      </c>
      <c r="AC23" s="4" t="s">
        <v>492</v>
      </c>
    </row>
    <row r="24" spans="1:29" x14ac:dyDescent="0.25">
      <c r="A24" s="4">
        <v>200</v>
      </c>
      <c r="B24" s="4" t="s">
        <v>100</v>
      </c>
      <c r="C24" s="4" t="s">
        <v>702</v>
      </c>
      <c r="D24" s="4" t="s">
        <v>317</v>
      </c>
      <c r="E24" s="4" t="s">
        <v>318</v>
      </c>
      <c r="F24" s="4" t="s">
        <v>319</v>
      </c>
      <c r="G24" s="4"/>
      <c r="H24" s="4" t="s">
        <v>712</v>
      </c>
      <c r="I24" s="4" t="s">
        <v>744</v>
      </c>
      <c r="J24" s="5" t="s">
        <v>765</v>
      </c>
      <c r="K24" s="5" t="s">
        <v>777</v>
      </c>
      <c r="L24" s="5" t="s">
        <v>778</v>
      </c>
      <c r="M24" s="4">
        <f>VLOOKUP(TabINV2026[[#This Row],[Estado2]],Tabla!$A$2:$B$6,2,FALSE)</f>
        <v>3</v>
      </c>
      <c r="N24" s="4" t="s">
        <v>758</v>
      </c>
      <c r="O24" s="4" t="s">
        <v>569</v>
      </c>
      <c r="P24" s="4">
        <v>11</v>
      </c>
      <c r="Q24" s="4" t="s">
        <v>379</v>
      </c>
      <c r="R24" s="4" t="s">
        <v>20</v>
      </c>
      <c r="S24" s="4" t="s">
        <v>21</v>
      </c>
      <c r="T24" s="4" t="s">
        <v>351</v>
      </c>
      <c r="U24" s="4" t="s">
        <v>677</v>
      </c>
      <c r="V24" s="4" t="s">
        <v>403</v>
      </c>
      <c r="W24" s="4" t="s">
        <v>576</v>
      </c>
      <c r="X24" s="4" t="s">
        <v>278</v>
      </c>
      <c r="Y24" s="4" t="s">
        <v>697</v>
      </c>
      <c r="Z24" s="4" t="s">
        <v>448</v>
      </c>
      <c r="AA24" s="4" t="s">
        <v>623</v>
      </c>
      <c r="AB24" s="4" t="s">
        <v>477</v>
      </c>
      <c r="AC24" s="4" t="s">
        <v>493</v>
      </c>
    </row>
    <row r="25" spans="1:29" x14ac:dyDescent="0.25">
      <c r="A25" s="4">
        <v>200</v>
      </c>
      <c r="B25" s="4" t="s">
        <v>130</v>
      </c>
      <c r="C25" s="4" t="s">
        <v>702</v>
      </c>
      <c r="D25" s="4" t="s">
        <v>110</v>
      </c>
      <c r="E25" s="4" t="s">
        <v>107</v>
      </c>
      <c r="F25" s="4" t="s">
        <v>833</v>
      </c>
      <c r="G25" s="4" t="s">
        <v>834</v>
      </c>
      <c r="H25" s="4" t="s">
        <v>712</v>
      </c>
      <c r="I25" s="4" t="s">
        <v>713</v>
      </c>
      <c r="J25" s="5" t="s">
        <v>765</v>
      </c>
      <c r="K25" s="48" t="s">
        <v>777</v>
      </c>
      <c r="L25" s="48" t="s">
        <v>778</v>
      </c>
      <c r="M25" s="4">
        <f>VLOOKUP(TabINV2026[[#This Row],[Estado2]],Tabla!$A$2:$B$6,2,FALSE)</f>
        <v>1</v>
      </c>
      <c r="N25" s="4" t="s">
        <v>757</v>
      </c>
      <c r="O25" s="4" t="s">
        <v>675</v>
      </c>
      <c r="P25" s="4">
        <v>5</v>
      </c>
      <c r="Q25" s="4" t="s">
        <v>380</v>
      </c>
      <c r="R25" s="4" t="s">
        <v>20</v>
      </c>
      <c r="S25" s="4" t="s">
        <v>21</v>
      </c>
      <c r="T25" s="4" t="s">
        <v>352</v>
      </c>
      <c r="U25" s="4" t="s">
        <v>677</v>
      </c>
      <c r="V25" s="4" t="s">
        <v>404</v>
      </c>
      <c r="W25" s="4" t="s">
        <v>576</v>
      </c>
      <c r="X25" s="4" t="s">
        <v>423</v>
      </c>
      <c r="Y25" s="4" t="s">
        <v>692</v>
      </c>
      <c r="Z25" s="4" t="s">
        <v>444</v>
      </c>
      <c r="AA25" s="4" t="s">
        <v>614</v>
      </c>
      <c r="AB25" s="4" t="s">
        <v>478</v>
      </c>
      <c r="AC25" s="4" t="s">
        <v>494</v>
      </c>
    </row>
    <row r="26" spans="1:29" x14ac:dyDescent="0.25">
      <c r="A26" s="4">
        <v>200</v>
      </c>
      <c r="B26" s="4" t="s">
        <v>100</v>
      </c>
      <c r="C26" s="4" t="s">
        <v>702</v>
      </c>
      <c r="D26" s="4" t="s">
        <v>105</v>
      </c>
      <c r="E26" s="4" t="s">
        <v>318</v>
      </c>
      <c r="F26" s="4" t="s">
        <v>832</v>
      </c>
      <c r="G26" s="4" t="s">
        <v>847</v>
      </c>
      <c r="H26" s="4" t="s">
        <v>712</v>
      </c>
      <c r="I26" s="4" t="s">
        <v>713</v>
      </c>
      <c r="J26" s="5" t="s">
        <v>765</v>
      </c>
      <c r="K26" s="5" t="s">
        <v>777</v>
      </c>
      <c r="L26" s="5" t="s">
        <v>778</v>
      </c>
      <c r="M26" s="4">
        <f>VLOOKUP(TabINV2026[[#This Row],[Estado2]],Tabla!$A$2:$B$6,2,FALSE)</f>
        <v>1</v>
      </c>
      <c r="N26" s="4" t="s">
        <v>757</v>
      </c>
      <c r="O26" s="4" t="s">
        <v>571</v>
      </c>
      <c r="P26" s="4">
        <v>4</v>
      </c>
      <c r="Q26" s="4" t="s">
        <v>106</v>
      </c>
      <c r="R26" s="4" t="s">
        <v>20</v>
      </c>
      <c r="S26" s="4" t="s">
        <v>21</v>
      </c>
      <c r="T26" s="4" t="s">
        <v>337</v>
      </c>
      <c r="U26" s="4" t="s">
        <v>676</v>
      </c>
      <c r="V26" s="4" t="s">
        <v>405</v>
      </c>
      <c r="W26" s="4" t="s">
        <v>576</v>
      </c>
      <c r="X26" s="4" t="s">
        <v>424</v>
      </c>
      <c r="Y26" s="4" t="s">
        <v>696</v>
      </c>
      <c r="Z26" s="4" t="s">
        <v>449</v>
      </c>
      <c r="AA26" s="4" t="s">
        <v>617</v>
      </c>
      <c r="AB26" s="4" t="s">
        <v>332</v>
      </c>
      <c r="AC26" s="4" t="s">
        <v>495</v>
      </c>
    </row>
    <row r="27" spans="1:29" x14ac:dyDescent="0.25">
      <c r="A27" s="4">
        <v>200</v>
      </c>
      <c r="B27" s="4" t="s">
        <v>130</v>
      </c>
      <c r="C27" s="4" t="s">
        <v>702</v>
      </c>
      <c r="D27" s="4" t="s">
        <v>137</v>
      </c>
      <c r="E27" s="4" t="s">
        <v>835</v>
      </c>
      <c r="F27" s="4" t="s">
        <v>822</v>
      </c>
      <c r="G27" s="4"/>
      <c r="H27" s="4" t="s">
        <v>712</v>
      </c>
      <c r="I27" s="4" t="s">
        <v>713</v>
      </c>
      <c r="J27" s="5" t="s">
        <v>765</v>
      </c>
      <c r="K27" s="48" t="s">
        <v>777</v>
      </c>
      <c r="L27" s="48" t="s">
        <v>778</v>
      </c>
      <c r="M27" s="4">
        <f>VLOOKUP(TabINV2026[[#This Row],[Estado2]],Tabla!$A$2:$B$6,2,FALSE)</f>
        <v>1</v>
      </c>
      <c r="N27" s="4" t="s">
        <v>757</v>
      </c>
      <c r="O27" s="4" t="s">
        <v>675</v>
      </c>
      <c r="P27" s="4">
        <v>5</v>
      </c>
      <c r="Q27" s="4" t="s">
        <v>381</v>
      </c>
      <c r="R27" s="4" t="s">
        <v>20</v>
      </c>
      <c r="S27" s="4" t="s">
        <v>21</v>
      </c>
      <c r="T27" s="4" t="s">
        <v>352</v>
      </c>
      <c r="U27" s="4" t="s">
        <v>677</v>
      </c>
      <c r="V27" s="4" t="s">
        <v>404</v>
      </c>
      <c r="W27" s="4" t="s">
        <v>576</v>
      </c>
      <c r="X27" s="4" t="s">
        <v>278</v>
      </c>
      <c r="Y27" s="4" t="s">
        <v>696</v>
      </c>
      <c r="Z27" s="4" t="s">
        <v>450</v>
      </c>
      <c r="AA27" s="4" t="s">
        <v>623</v>
      </c>
      <c r="AB27" s="4" t="s">
        <v>332</v>
      </c>
      <c r="AC27" s="4" t="s">
        <v>496</v>
      </c>
    </row>
    <row r="28" spans="1:29" x14ac:dyDescent="0.25">
      <c r="A28" s="4">
        <v>200</v>
      </c>
      <c r="B28" s="4" t="s">
        <v>130</v>
      </c>
      <c r="C28" s="4" t="s">
        <v>702</v>
      </c>
      <c r="D28" s="4" t="s">
        <v>98</v>
      </c>
      <c r="E28" s="4" t="s">
        <v>97</v>
      </c>
      <c r="F28" s="4" t="s">
        <v>543</v>
      </c>
      <c r="G28" s="4" t="s">
        <v>763</v>
      </c>
      <c r="H28" s="4" t="s">
        <v>712</v>
      </c>
      <c r="I28" s="4" t="s">
        <v>744</v>
      </c>
      <c r="J28" s="5" t="s">
        <v>765</v>
      </c>
      <c r="K28" s="48" t="s">
        <v>777</v>
      </c>
      <c r="L28" s="48" t="s">
        <v>778</v>
      </c>
      <c r="M28" s="4">
        <f>VLOOKUP(TabINV2026[[#This Row],[Estado2]],Tabla!$A$2:$B$6,2,FALSE)</f>
        <v>3</v>
      </c>
      <c r="N28" s="4" t="s">
        <v>758</v>
      </c>
      <c r="O28" s="4" t="s">
        <v>569</v>
      </c>
      <c r="P28" s="4">
        <v>9</v>
      </c>
      <c r="Q28" s="4" t="s">
        <v>382</v>
      </c>
      <c r="R28" s="4" t="s">
        <v>20</v>
      </c>
      <c r="S28" s="4" t="s">
        <v>21</v>
      </c>
      <c r="T28" s="4" t="s">
        <v>353</v>
      </c>
      <c r="U28" s="4" t="s">
        <v>677</v>
      </c>
      <c r="V28" s="4" t="s">
        <v>403</v>
      </c>
      <c r="W28" s="4" t="s">
        <v>684</v>
      </c>
      <c r="X28" s="4" t="s">
        <v>425</v>
      </c>
      <c r="Y28" s="4" t="s">
        <v>693</v>
      </c>
      <c r="Z28" s="4" t="s">
        <v>451</v>
      </c>
      <c r="AA28" s="4" t="s">
        <v>623</v>
      </c>
      <c r="AB28" s="4" t="s">
        <v>479</v>
      </c>
      <c r="AC28" s="4" t="s">
        <v>497</v>
      </c>
    </row>
    <row r="29" spans="1:29" x14ac:dyDescent="0.25">
      <c r="A29" s="4">
        <v>200</v>
      </c>
      <c r="B29" s="4" t="s">
        <v>183</v>
      </c>
      <c r="C29" s="4" t="s">
        <v>624</v>
      </c>
      <c r="D29" s="4" t="s">
        <v>229</v>
      </c>
      <c r="E29" s="4" t="s">
        <v>315</v>
      </c>
      <c r="F29" s="4" t="s">
        <v>544</v>
      </c>
      <c r="G29" s="4" t="s">
        <v>669</v>
      </c>
      <c r="H29" s="4" t="s">
        <v>712</v>
      </c>
      <c r="I29" s="4" t="s">
        <v>745</v>
      </c>
      <c r="J29" s="5" t="s">
        <v>765</v>
      </c>
      <c r="K29" s="5" t="s">
        <v>775</v>
      </c>
      <c r="L29" s="5" t="s">
        <v>776</v>
      </c>
      <c r="M29" s="4">
        <f>VLOOKUP(TabINV2026[[#This Row],[Estado2]],Tabla!$A$2:$B$6,2,FALSE)</f>
        <v>4</v>
      </c>
      <c r="N29" s="4" t="s">
        <v>714</v>
      </c>
      <c r="O29" s="4" t="s">
        <v>570</v>
      </c>
      <c r="P29" s="4">
        <v>11</v>
      </c>
      <c r="Q29" s="4" t="s">
        <v>383</v>
      </c>
      <c r="R29" s="4" t="s">
        <v>20</v>
      </c>
      <c r="S29" s="4" t="s">
        <v>21</v>
      </c>
      <c r="T29" s="4" t="s">
        <v>354</v>
      </c>
      <c r="U29" s="4" t="s">
        <v>406</v>
      </c>
      <c r="V29" s="4" t="s">
        <v>406</v>
      </c>
      <c r="W29" s="4" t="s">
        <v>683</v>
      </c>
      <c r="X29" s="4" t="s">
        <v>426</v>
      </c>
      <c r="Y29" s="4" t="s">
        <v>692</v>
      </c>
      <c r="Z29" s="4" t="s">
        <v>452</v>
      </c>
      <c r="AA29" s="4" t="s">
        <v>625</v>
      </c>
      <c r="AB29" s="4" t="s">
        <v>480</v>
      </c>
      <c r="AC29" s="4" t="s">
        <v>498</v>
      </c>
    </row>
    <row r="30" spans="1:29" hidden="1" x14ac:dyDescent="0.25">
      <c r="A30" s="4">
        <v>200</v>
      </c>
      <c r="B30" s="4" t="s">
        <v>183</v>
      </c>
      <c r="C30" s="4" t="s">
        <v>596</v>
      </c>
      <c r="D30" s="4" t="s">
        <v>324</v>
      </c>
      <c r="E30" s="4" t="s">
        <v>325</v>
      </c>
      <c r="F30" s="4" t="s">
        <v>326</v>
      </c>
      <c r="G30" s="4" t="s">
        <v>763</v>
      </c>
      <c r="H30" s="4" t="s">
        <v>712</v>
      </c>
      <c r="I30" s="4" t="s">
        <v>714</v>
      </c>
      <c r="J30" s="5" t="s">
        <v>765</v>
      </c>
      <c r="K30" s="5" t="s">
        <v>775</v>
      </c>
      <c r="L30" s="5" t="s">
        <v>776</v>
      </c>
      <c r="M30" s="4">
        <f>VLOOKUP(TabINV2026[[#This Row],[Estado2]],Tabla!$A$2:$B$6,2,FALSE)</f>
        <v>5</v>
      </c>
      <c r="N30" s="4" t="s">
        <v>714</v>
      </c>
      <c r="O30" s="4" t="s">
        <v>570</v>
      </c>
      <c r="P30" s="4">
        <v>12</v>
      </c>
      <c r="Q30" s="4" t="s">
        <v>172</v>
      </c>
      <c r="R30" s="4" t="s">
        <v>40</v>
      </c>
      <c r="S30" s="4" t="s">
        <v>41</v>
      </c>
      <c r="T30" s="4" t="s">
        <v>355</v>
      </c>
      <c r="U30" s="4" t="s">
        <v>406</v>
      </c>
      <c r="V30" s="4" t="s">
        <v>406</v>
      </c>
      <c r="W30" s="4" t="s">
        <v>685</v>
      </c>
      <c r="X30" s="4" t="s">
        <v>370</v>
      </c>
      <c r="Y30" s="4" t="s">
        <v>698</v>
      </c>
      <c r="Z30" s="4" t="s">
        <v>44</v>
      </c>
      <c r="AA30" s="4" t="s">
        <v>626</v>
      </c>
      <c r="AB30" s="4" t="s">
        <v>281</v>
      </c>
      <c r="AC30" s="4" t="s">
        <v>627</v>
      </c>
    </row>
    <row r="31" spans="1:29" x14ac:dyDescent="0.25">
      <c r="A31" s="4">
        <v>200</v>
      </c>
      <c r="B31" s="4" t="s">
        <v>73</v>
      </c>
      <c r="C31" s="4" t="s">
        <v>88</v>
      </c>
      <c r="D31" s="4" t="s">
        <v>85</v>
      </c>
      <c r="E31" s="4" t="s">
        <v>560</v>
      </c>
      <c r="F31" s="4" t="s">
        <v>545</v>
      </c>
      <c r="G31" s="4" t="s">
        <v>669</v>
      </c>
      <c r="H31" s="4" t="s">
        <v>712</v>
      </c>
      <c r="I31" s="4" t="s">
        <v>713</v>
      </c>
      <c r="J31" s="5" t="s">
        <v>765</v>
      </c>
      <c r="K31" s="5" t="s">
        <v>777</v>
      </c>
      <c r="L31" s="5" t="s">
        <v>778</v>
      </c>
      <c r="M31" s="4">
        <f>VLOOKUP(TabINV2026[[#This Row],[Estado2]],Tabla!$A$2:$B$6,2,FALSE)</f>
        <v>1</v>
      </c>
      <c r="N31" s="4" t="s">
        <v>757</v>
      </c>
      <c r="O31" s="4" t="s">
        <v>571</v>
      </c>
      <c r="P31" s="4">
        <v>4</v>
      </c>
      <c r="Q31" s="4" t="s">
        <v>86</v>
      </c>
      <c r="R31" s="4" t="s">
        <v>20</v>
      </c>
      <c r="S31" s="4" t="s">
        <v>21</v>
      </c>
      <c r="T31" s="4" t="s">
        <v>356</v>
      </c>
      <c r="U31" s="4" t="s">
        <v>677</v>
      </c>
      <c r="V31" s="4" t="s">
        <v>407</v>
      </c>
      <c r="W31" s="4" t="s">
        <v>576</v>
      </c>
      <c r="X31" s="4" t="s">
        <v>278</v>
      </c>
      <c r="Y31" s="4" t="s">
        <v>694</v>
      </c>
      <c r="Z31" s="4" t="s">
        <v>453</v>
      </c>
      <c r="AA31" s="4" t="s">
        <v>629</v>
      </c>
      <c r="AB31" s="4" t="s">
        <v>481</v>
      </c>
      <c r="AC31" s="4" t="s">
        <v>499</v>
      </c>
    </row>
    <row r="32" spans="1:29" x14ac:dyDescent="0.25">
      <c r="A32" s="4">
        <v>200</v>
      </c>
      <c r="B32" s="4" t="s">
        <v>73</v>
      </c>
      <c r="C32" s="4" t="s">
        <v>628</v>
      </c>
      <c r="D32" s="4" t="s">
        <v>79</v>
      </c>
      <c r="E32" s="4" t="s">
        <v>561</v>
      </c>
      <c r="F32" s="4" t="s">
        <v>546</v>
      </c>
      <c r="G32" s="4"/>
      <c r="H32" s="4" t="s">
        <v>712</v>
      </c>
      <c r="I32" s="4" t="s">
        <v>713</v>
      </c>
      <c r="J32" s="5" t="s">
        <v>765</v>
      </c>
      <c r="K32" s="5" t="s">
        <v>777</v>
      </c>
      <c r="L32" s="5" t="s">
        <v>778</v>
      </c>
      <c r="M32" s="4">
        <f>VLOOKUP(TabINV2026[[#This Row],[Estado2]],Tabla!$A$2:$B$6,2,FALSE)</f>
        <v>1</v>
      </c>
      <c r="N32" s="4" t="s">
        <v>757</v>
      </c>
      <c r="O32" s="4" t="s">
        <v>569</v>
      </c>
      <c r="P32" s="4">
        <v>4</v>
      </c>
      <c r="Q32" s="4" t="s">
        <v>384</v>
      </c>
      <c r="R32" s="4" t="s">
        <v>20</v>
      </c>
      <c r="S32" s="4" t="s">
        <v>21</v>
      </c>
      <c r="T32" s="4" t="s">
        <v>357</v>
      </c>
      <c r="U32" s="4" t="s">
        <v>677</v>
      </c>
      <c r="V32" s="4" t="s">
        <v>408</v>
      </c>
      <c r="W32" s="4" t="s">
        <v>576</v>
      </c>
      <c r="X32" s="4" t="s">
        <v>278</v>
      </c>
      <c r="Y32" s="4" t="s">
        <v>694</v>
      </c>
      <c r="Z32" s="4" t="s">
        <v>453</v>
      </c>
      <c r="AA32" s="4" t="s">
        <v>630</v>
      </c>
      <c r="AB32" s="4" t="s">
        <v>332</v>
      </c>
      <c r="AC32" s="4" t="s">
        <v>500</v>
      </c>
    </row>
    <row r="33" spans="1:29" x14ac:dyDescent="0.25">
      <c r="A33" s="4">
        <v>200</v>
      </c>
      <c r="B33" s="4" t="s">
        <v>73</v>
      </c>
      <c r="C33" s="4" t="s">
        <v>628</v>
      </c>
      <c r="D33" s="4" t="s">
        <v>72</v>
      </c>
      <c r="E33" s="4" t="s">
        <v>71</v>
      </c>
      <c r="F33" s="4" t="s">
        <v>547</v>
      </c>
      <c r="G33" s="4" t="s">
        <v>763</v>
      </c>
      <c r="H33" s="4" t="s">
        <v>712</v>
      </c>
      <c r="I33" s="4" t="s">
        <v>744</v>
      </c>
      <c r="J33" s="5" t="s">
        <v>765</v>
      </c>
      <c r="K33" s="5" t="s">
        <v>775</v>
      </c>
      <c r="L33" s="5" t="s">
        <v>776</v>
      </c>
      <c r="M33" s="4">
        <f>VLOOKUP(TabINV2026[[#This Row],[Estado2]],Tabla!$A$2:$B$6,2,FALSE)</f>
        <v>3</v>
      </c>
      <c r="N33" s="4" t="s">
        <v>758</v>
      </c>
      <c r="O33" s="4" t="s">
        <v>569</v>
      </c>
      <c r="P33" s="4">
        <v>11</v>
      </c>
      <c r="Q33" s="4" t="s">
        <v>69</v>
      </c>
      <c r="R33" s="4" t="s">
        <v>20</v>
      </c>
      <c r="S33" s="4" t="s">
        <v>21</v>
      </c>
      <c r="T33" s="4" t="s">
        <v>358</v>
      </c>
      <c r="U33" s="4" t="s">
        <v>677</v>
      </c>
      <c r="V33" s="4" t="s">
        <v>409</v>
      </c>
      <c r="W33" s="4" t="s">
        <v>683</v>
      </c>
      <c r="X33" s="4" t="s">
        <v>427</v>
      </c>
      <c r="Y33" s="4" t="s">
        <v>693</v>
      </c>
      <c r="Z33" s="4" t="s">
        <v>454</v>
      </c>
      <c r="AA33" s="4" t="s">
        <v>598</v>
      </c>
      <c r="AB33" s="4" t="s">
        <v>332</v>
      </c>
      <c r="AC33" s="4" t="s">
        <v>501</v>
      </c>
    </row>
    <row r="34" spans="1:29" x14ac:dyDescent="0.25">
      <c r="A34" s="4">
        <v>200</v>
      </c>
      <c r="B34" s="4" t="s">
        <v>73</v>
      </c>
      <c r="C34" s="4" t="s">
        <v>628</v>
      </c>
      <c r="D34" s="4" t="s">
        <v>76</v>
      </c>
      <c r="E34" s="4" t="s">
        <v>75</v>
      </c>
      <c r="F34" s="4" t="s">
        <v>631</v>
      </c>
      <c r="G34" s="4"/>
      <c r="H34" s="4" t="s">
        <v>712</v>
      </c>
      <c r="I34" s="4" t="s">
        <v>715</v>
      </c>
      <c r="J34" s="5" t="s">
        <v>765</v>
      </c>
      <c r="K34" s="5" t="s">
        <v>775</v>
      </c>
      <c r="L34" s="5" t="s">
        <v>776</v>
      </c>
      <c r="M34" s="4">
        <f>VLOOKUP(TabINV2026[[#This Row],[Estado2]],Tabla!$A$2:$B$6,2,FALSE)</f>
        <v>2</v>
      </c>
      <c r="N34" s="4" t="s">
        <v>757</v>
      </c>
      <c r="O34" s="4" t="s">
        <v>571</v>
      </c>
      <c r="P34" s="4">
        <v>10</v>
      </c>
      <c r="Q34" s="4" t="s">
        <v>77</v>
      </c>
      <c r="R34" s="4" t="s">
        <v>40</v>
      </c>
      <c r="S34" s="4" t="s">
        <v>688</v>
      </c>
      <c r="T34" s="4" t="s">
        <v>282</v>
      </c>
      <c r="U34" s="4" t="s">
        <v>677</v>
      </c>
      <c r="V34" s="4" t="s">
        <v>283</v>
      </c>
      <c r="W34" s="4" t="s">
        <v>576</v>
      </c>
      <c r="X34" s="4" t="s">
        <v>284</v>
      </c>
      <c r="Y34" s="4" t="s">
        <v>696</v>
      </c>
      <c r="Z34" s="4" t="s">
        <v>455</v>
      </c>
      <c r="AA34" s="4" t="s">
        <v>632</v>
      </c>
      <c r="AB34" s="4" t="s">
        <v>472</v>
      </c>
      <c r="AC34" s="4" t="s">
        <v>633</v>
      </c>
    </row>
    <row r="35" spans="1:29" hidden="1" x14ac:dyDescent="0.25">
      <c r="A35" s="4">
        <v>177</v>
      </c>
      <c r="B35" s="4" t="s">
        <v>100</v>
      </c>
      <c r="C35" s="4" t="s">
        <v>703</v>
      </c>
      <c r="D35" s="4" t="s">
        <v>29</v>
      </c>
      <c r="E35" s="4" t="s">
        <v>562</v>
      </c>
      <c r="F35" s="4" t="s">
        <v>548</v>
      </c>
      <c r="G35" s="4"/>
      <c r="H35" s="4" t="s">
        <v>712</v>
      </c>
      <c r="I35" s="4" t="s">
        <v>714</v>
      </c>
      <c r="J35" s="5" t="s">
        <v>765</v>
      </c>
      <c r="K35" s="48" t="s">
        <v>777</v>
      </c>
      <c r="L35" s="48" t="s">
        <v>778</v>
      </c>
      <c r="M35" s="4">
        <f>VLOOKUP(TabINV2026[[#This Row],[Estado2]],Tabla!$A$2:$B$6,2,FALSE)</f>
        <v>5</v>
      </c>
      <c r="N35" s="4" t="s">
        <v>714</v>
      </c>
      <c r="O35" s="4" t="s">
        <v>569</v>
      </c>
      <c r="P35" s="4">
        <v>11</v>
      </c>
      <c r="Q35" s="4" t="s">
        <v>22</v>
      </c>
      <c r="R35" s="4" t="s">
        <v>20</v>
      </c>
      <c r="S35" s="4" t="s">
        <v>21</v>
      </c>
      <c r="T35" s="4" t="s">
        <v>359</v>
      </c>
      <c r="U35" s="4" t="s">
        <v>406</v>
      </c>
      <c r="V35" s="4" t="s">
        <v>276</v>
      </c>
      <c r="W35" s="4" t="s">
        <v>682</v>
      </c>
      <c r="X35" s="4" t="s">
        <v>428</v>
      </c>
      <c r="Y35" s="4" t="s">
        <v>692</v>
      </c>
      <c r="Z35" s="4" t="s">
        <v>444</v>
      </c>
      <c r="AA35" s="4" t="s">
        <v>598</v>
      </c>
      <c r="AB35" s="4" t="s">
        <v>481</v>
      </c>
      <c r="AC35" s="4" t="s">
        <v>502</v>
      </c>
    </row>
    <row r="36" spans="1:29" hidden="1" x14ac:dyDescent="0.25">
      <c r="A36" s="4">
        <v>177</v>
      </c>
      <c r="B36" s="4" t="s">
        <v>113</v>
      </c>
      <c r="C36" s="4" t="s">
        <v>642</v>
      </c>
      <c r="D36" s="4" t="s">
        <v>37</v>
      </c>
      <c r="E36" s="4" t="s">
        <v>563</v>
      </c>
      <c r="F36" s="4" t="s">
        <v>549</v>
      </c>
      <c r="G36" s="4"/>
      <c r="H36" s="4" t="s">
        <v>712</v>
      </c>
      <c r="I36" s="4" t="s">
        <v>714</v>
      </c>
      <c r="J36" s="5" t="s">
        <v>765</v>
      </c>
      <c r="K36" s="48" t="s">
        <v>777</v>
      </c>
      <c r="L36" s="48" t="s">
        <v>778</v>
      </c>
      <c r="M36" s="4">
        <f>VLOOKUP(TabINV2026[[#This Row],[Estado2]],Tabla!$A$2:$B$6,2,FALSE)</f>
        <v>5</v>
      </c>
      <c r="N36" s="4" t="s">
        <v>714</v>
      </c>
      <c r="O36" s="4" t="s">
        <v>569</v>
      </c>
      <c r="P36" s="4">
        <v>11</v>
      </c>
      <c r="Q36" s="4" t="s">
        <v>22</v>
      </c>
      <c r="R36" s="4" t="s">
        <v>20</v>
      </c>
      <c r="S36" s="4" t="s">
        <v>21</v>
      </c>
      <c r="T36" s="4" t="s">
        <v>360</v>
      </c>
      <c r="U36" s="4" t="s">
        <v>406</v>
      </c>
      <c r="V36" s="4" t="s">
        <v>285</v>
      </c>
      <c r="W36" s="4" t="s">
        <v>682</v>
      </c>
      <c r="X36" s="4" t="s">
        <v>429</v>
      </c>
      <c r="Y36" s="4" t="s">
        <v>692</v>
      </c>
      <c r="Z36" s="4" t="s">
        <v>444</v>
      </c>
      <c r="AA36" s="4" t="s">
        <v>598</v>
      </c>
      <c r="AB36" s="4" t="s">
        <v>332</v>
      </c>
      <c r="AC36" s="4" t="s">
        <v>503</v>
      </c>
    </row>
    <row r="37" spans="1:29" x14ac:dyDescent="0.25">
      <c r="A37" s="4">
        <v>177</v>
      </c>
      <c r="B37" s="4" t="s">
        <v>113</v>
      </c>
      <c r="C37" s="4" t="s">
        <v>642</v>
      </c>
      <c r="D37" s="4" t="s">
        <v>634</v>
      </c>
      <c r="E37" s="4" t="s">
        <v>635</v>
      </c>
      <c r="F37" s="4" t="s">
        <v>636</v>
      </c>
      <c r="G37" s="4"/>
      <c r="H37" s="4" t="s">
        <v>712</v>
      </c>
      <c r="I37" s="4" t="s">
        <v>744</v>
      </c>
      <c r="J37" s="5" t="s">
        <v>765</v>
      </c>
      <c r="K37" s="48" t="s">
        <v>777</v>
      </c>
      <c r="L37" s="48" t="s">
        <v>778</v>
      </c>
      <c r="M37" s="4">
        <f>VLOOKUP(TabINV2026[[#This Row],[Estado2]],Tabla!$A$2:$B$6,2,FALSE)</f>
        <v>3</v>
      </c>
      <c r="N37" s="4" t="s">
        <v>758</v>
      </c>
      <c r="O37" s="4" t="s">
        <v>569</v>
      </c>
      <c r="P37" s="4">
        <v>12</v>
      </c>
      <c r="Q37" s="4" t="s">
        <v>42</v>
      </c>
      <c r="R37" s="4" t="s">
        <v>40</v>
      </c>
      <c r="S37" s="4" t="s">
        <v>41</v>
      </c>
      <c r="T37" s="4" t="s">
        <v>298</v>
      </c>
      <c r="U37" s="4" t="s">
        <v>677</v>
      </c>
      <c r="V37" s="4" t="s">
        <v>372</v>
      </c>
      <c r="W37" s="4" t="s">
        <v>682</v>
      </c>
      <c r="X37" s="4" t="s">
        <v>286</v>
      </c>
      <c r="Y37" s="4" t="s">
        <v>699</v>
      </c>
      <c r="Z37" s="4" t="s">
        <v>637</v>
      </c>
      <c r="AA37" s="4" t="s">
        <v>638</v>
      </c>
      <c r="AB37" s="4" t="s">
        <v>639</v>
      </c>
      <c r="AC37" s="4" t="s">
        <v>640</v>
      </c>
    </row>
    <row r="38" spans="1:29" x14ac:dyDescent="0.25">
      <c r="A38" s="4">
        <v>177</v>
      </c>
      <c r="B38" s="4" t="s">
        <v>100</v>
      </c>
      <c r="C38" s="4" t="s">
        <v>703</v>
      </c>
      <c r="D38" s="4" t="s">
        <v>641</v>
      </c>
      <c r="E38" s="4" t="s">
        <v>562</v>
      </c>
      <c r="F38" s="4" t="s">
        <v>550</v>
      </c>
      <c r="G38" s="4"/>
      <c r="H38" s="4" t="s">
        <v>712</v>
      </c>
      <c r="I38" s="4" t="s">
        <v>715</v>
      </c>
      <c r="J38" s="5" t="s">
        <v>765</v>
      </c>
      <c r="K38" s="48" t="s">
        <v>777</v>
      </c>
      <c r="L38" s="48" t="s">
        <v>778</v>
      </c>
      <c r="M38" s="4">
        <f>VLOOKUP(TabINV2026[[#This Row],[Estado2]],Tabla!$A$2:$B$6,2,FALSE)</f>
        <v>2</v>
      </c>
      <c r="N38" s="4" t="s">
        <v>757</v>
      </c>
      <c r="O38" s="4" t="s">
        <v>675</v>
      </c>
      <c r="P38" s="4">
        <v>5</v>
      </c>
      <c r="Q38" s="4" t="s">
        <v>385</v>
      </c>
      <c r="R38" s="4" t="s">
        <v>20</v>
      </c>
      <c r="S38" s="4" t="s">
        <v>21</v>
      </c>
      <c r="T38" s="4"/>
      <c r="U38" s="4" t="s">
        <v>677</v>
      </c>
      <c r="V38" s="4" t="s">
        <v>410</v>
      </c>
      <c r="W38" s="4" t="s">
        <v>576</v>
      </c>
      <c r="X38" s="4" t="s">
        <v>278</v>
      </c>
      <c r="Y38" s="4" t="s">
        <v>692</v>
      </c>
      <c r="Z38" s="4" t="s">
        <v>444</v>
      </c>
      <c r="AA38" s="4" t="s">
        <v>598</v>
      </c>
      <c r="AB38" s="4" t="s">
        <v>332</v>
      </c>
      <c r="AC38" s="4" t="s">
        <v>504</v>
      </c>
    </row>
    <row r="39" spans="1:29" hidden="1" x14ac:dyDescent="0.25">
      <c r="A39" s="4">
        <v>177</v>
      </c>
      <c r="B39" s="4" t="s">
        <v>113</v>
      </c>
      <c r="C39" s="4" t="s">
        <v>642</v>
      </c>
      <c r="D39" s="4" t="s">
        <v>18</v>
      </c>
      <c r="E39" s="4" t="s">
        <v>17</v>
      </c>
      <c r="F39" s="4" t="s">
        <v>551</v>
      </c>
      <c r="G39" s="4"/>
      <c r="H39" s="4" t="s">
        <v>712</v>
      </c>
      <c r="I39" s="4" t="s">
        <v>714</v>
      </c>
      <c r="J39" s="5" t="s">
        <v>765</v>
      </c>
      <c r="K39" s="48" t="s">
        <v>777</v>
      </c>
      <c r="L39" s="48" t="s">
        <v>778</v>
      </c>
      <c r="M39" s="4">
        <f>VLOOKUP(TabINV2026[[#This Row],[Estado2]],Tabla!$A$2:$B$6,2,FALSE)</f>
        <v>5</v>
      </c>
      <c r="N39" s="4" t="s">
        <v>714</v>
      </c>
      <c r="O39" s="4" t="s">
        <v>569</v>
      </c>
      <c r="P39" s="4">
        <v>11</v>
      </c>
      <c r="Q39" s="4" t="s">
        <v>22</v>
      </c>
      <c r="R39" s="4" t="s">
        <v>20</v>
      </c>
      <c r="S39" s="4" t="s">
        <v>21</v>
      </c>
      <c r="T39" s="4" t="s">
        <v>360</v>
      </c>
      <c r="U39" s="4" t="s">
        <v>406</v>
      </c>
      <c r="V39" s="4" t="s">
        <v>411</v>
      </c>
      <c r="W39" s="4" t="s">
        <v>682</v>
      </c>
      <c r="X39" s="4" t="s">
        <v>430</v>
      </c>
      <c r="Y39" s="4" t="s">
        <v>696</v>
      </c>
      <c r="Z39" s="4" t="s">
        <v>455</v>
      </c>
      <c r="AA39" s="4" t="s">
        <v>643</v>
      </c>
      <c r="AB39" s="4" t="s">
        <v>482</v>
      </c>
      <c r="AC39" s="4" t="s">
        <v>505</v>
      </c>
    </row>
    <row r="40" spans="1:29" hidden="1" x14ac:dyDescent="0.25">
      <c r="A40" s="4">
        <v>177</v>
      </c>
      <c r="B40" s="4" t="s">
        <v>113</v>
      </c>
      <c r="C40" s="4" t="s">
        <v>644</v>
      </c>
      <c r="D40" s="4" t="s">
        <v>224</v>
      </c>
      <c r="E40" s="4" t="s">
        <v>645</v>
      </c>
      <c r="F40" s="4" t="s">
        <v>759</v>
      </c>
      <c r="G40" s="4"/>
      <c r="H40" s="4" t="s">
        <v>712</v>
      </c>
      <c r="I40" s="4" t="s">
        <v>714</v>
      </c>
      <c r="J40" s="5" t="s">
        <v>765</v>
      </c>
      <c r="K40" s="5" t="s">
        <v>775</v>
      </c>
      <c r="L40" s="5" t="s">
        <v>776</v>
      </c>
      <c r="M40" s="4">
        <f>VLOOKUP(TabINV2026[[#This Row],[Estado2]],Tabla!$A$2:$B$6,2,FALSE)</f>
        <v>5</v>
      </c>
      <c r="N40" s="4" t="s">
        <v>714</v>
      </c>
      <c r="O40" s="4" t="s">
        <v>570</v>
      </c>
      <c r="P40" s="4">
        <v>7</v>
      </c>
      <c r="Q40" s="4" t="s">
        <v>225</v>
      </c>
      <c r="R40" s="4" t="s">
        <v>40</v>
      </c>
      <c r="S40" s="4" t="s">
        <v>688</v>
      </c>
      <c r="T40" s="4" t="s">
        <v>287</v>
      </c>
      <c r="U40" s="4" t="s">
        <v>406</v>
      </c>
      <c r="V40" s="4" t="s">
        <v>681</v>
      </c>
      <c r="W40" s="4" t="s">
        <v>576</v>
      </c>
      <c r="X40" s="4" t="s">
        <v>289</v>
      </c>
      <c r="Y40" s="4" t="s">
        <v>691</v>
      </c>
      <c r="Z40" s="4" t="s">
        <v>646</v>
      </c>
      <c r="AA40" s="4" t="s">
        <v>647</v>
      </c>
      <c r="AB40" s="4" t="s">
        <v>648</v>
      </c>
      <c r="AC40" s="4" t="s">
        <v>649</v>
      </c>
    </row>
    <row r="41" spans="1:29" hidden="1" x14ac:dyDescent="0.25">
      <c r="A41" s="4">
        <v>177</v>
      </c>
      <c r="B41" s="4" t="s">
        <v>167</v>
      </c>
      <c r="C41" s="4" t="s">
        <v>650</v>
      </c>
      <c r="D41" s="4" t="s">
        <v>171</v>
      </c>
      <c r="E41" s="4" t="s">
        <v>290</v>
      </c>
      <c r="F41" s="4" t="s">
        <v>651</v>
      </c>
      <c r="G41" s="4" t="s">
        <v>763</v>
      </c>
      <c r="H41" s="4" t="s">
        <v>712</v>
      </c>
      <c r="I41" s="4" t="s">
        <v>714</v>
      </c>
      <c r="J41" s="5" t="s">
        <v>765</v>
      </c>
      <c r="K41" s="5" t="s">
        <v>775</v>
      </c>
      <c r="L41" s="5" t="s">
        <v>776</v>
      </c>
      <c r="M41" s="4">
        <f>VLOOKUP(TabINV2026[[#This Row],[Estado2]],Tabla!$A$2:$B$6,2,FALSE)</f>
        <v>5</v>
      </c>
      <c r="N41" s="4" t="s">
        <v>714</v>
      </c>
      <c r="O41" s="4" t="s">
        <v>570</v>
      </c>
      <c r="P41" s="4">
        <v>12</v>
      </c>
      <c r="Q41" s="4" t="s">
        <v>172</v>
      </c>
      <c r="R41" s="4" t="s">
        <v>40</v>
      </c>
      <c r="S41" s="4" t="s">
        <v>41</v>
      </c>
      <c r="T41" s="4" t="s">
        <v>291</v>
      </c>
      <c r="U41" s="4" t="s">
        <v>406</v>
      </c>
      <c r="V41" s="4" t="s">
        <v>292</v>
      </c>
      <c r="W41" s="4" t="s">
        <v>685</v>
      </c>
      <c r="X41" s="4" t="s">
        <v>293</v>
      </c>
      <c r="Y41" s="4" t="s">
        <v>700</v>
      </c>
      <c r="Z41" s="4" t="s">
        <v>44</v>
      </c>
      <c r="AA41" s="4" t="s">
        <v>652</v>
      </c>
      <c r="AB41" s="4" t="s">
        <v>639</v>
      </c>
      <c r="AC41" s="4" t="s">
        <v>653</v>
      </c>
    </row>
    <row r="42" spans="1:29" x14ac:dyDescent="0.25">
      <c r="A42" s="4">
        <v>177</v>
      </c>
      <c r="B42" s="4" t="s">
        <v>167</v>
      </c>
      <c r="C42" s="4" t="s">
        <v>650</v>
      </c>
      <c r="D42" s="4" t="s">
        <v>47</v>
      </c>
      <c r="E42" s="4" t="s">
        <v>46</v>
      </c>
      <c r="F42" s="4" t="s">
        <v>552</v>
      </c>
      <c r="G42" s="4"/>
      <c r="H42" s="4" t="s">
        <v>712</v>
      </c>
      <c r="I42" s="4" t="s">
        <v>744</v>
      </c>
      <c r="J42" s="5" t="s">
        <v>765</v>
      </c>
      <c r="K42" s="5" t="s">
        <v>777</v>
      </c>
      <c r="L42" s="5" t="s">
        <v>778</v>
      </c>
      <c r="M42" s="4">
        <f>VLOOKUP(TabINV2026[[#This Row],[Estado2]],Tabla!$A$2:$B$6,2,FALSE)</f>
        <v>3</v>
      </c>
      <c r="N42" s="4" t="s">
        <v>758</v>
      </c>
      <c r="O42" s="4" t="s">
        <v>569</v>
      </c>
      <c r="P42" s="4">
        <v>11</v>
      </c>
      <c r="Q42" s="4" t="s">
        <v>69</v>
      </c>
      <c r="R42" s="4" t="s">
        <v>20</v>
      </c>
      <c r="S42" s="4" t="s">
        <v>21</v>
      </c>
      <c r="T42" s="4" t="s">
        <v>361</v>
      </c>
      <c r="U42" s="4" t="s">
        <v>677</v>
      </c>
      <c r="V42" s="4" t="s">
        <v>412</v>
      </c>
      <c r="W42" s="4" t="s">
        <v>683</v>
      </c>
      <c r="X42" s="4" t="s">
        <v>431</v>
      </c>
      <c r="Y42" s="4" t="s">
        <v>693</v>
      </c>
      <c r="Z42" s="4" t="s">
        <v>454</v>
      </c>
      <c r="AA42" s="4" t="s">
        <v>654</v>
      </c>
      <c r="AB42" s="4" t="s">
        <v>332</v>
      </c>
      <c r="AC42" s="4" t="s">
        <v>506</v>
      </c>
    </row>
    <row r="43" spans="1:29" hidden="1" x14ac:dyDescent="0.25">
      <c r="A43" s="4">
        <v>177</v>
      </c>
      <c r="B43" s="4" t="s">
        <v>167</v>
      </c>
      <c r="C43" s="4" t="s">
        <v>650</v>
      </c>
      <c r="D43" s="4" t="s">
        <v>655</v>
      </c>
      <c r="E43" s="4" t="s">
        <v>46</v>
      </c>
      <c r="F43" s="4" t="s">
        <v>553</v>
      </c>
      <c r="G43" s="4" t="s">
        <v>669</v>
      </c>
      <c r="H43" s="4" t="s">
        <v>712</v>
      </c>
      <c r="I43" s="4" t="s">
        <v>714</v>
      </c>
      <c r="J43" s="5" t="s">
        <v>765</v>
      </c>
      <c r="K43" s="5" t="s">
        <v>777</v>
      </c>
      <c r="L43" s="5" t="s">
        <v>778</v>
      </c>
      <c r="M43" s="4">
        <f>VLOOKUP(TabINV2026[[#This Row],[Estado2]],Tabla!$A$2:$B$6,2,FALSE)</f>
        <v>5</v>
      </c>
      <c r="N43" s="4" t="s">
        <v>714</v>
      </c>
      <c r="O43" s="4" t="s">
        <v>569</v>
      </c>
      <c r="P43" s="4">
        <v>11</v>
      </c>
      <c r="Q43" s="4" t="s">
        <v>379</v>
      </c>
      <c r="R43" s="4" t="s">
        <v>20</v>
      </c>
      <c r="S43" s="4" t="s">
        <v>21</v>
      </c>
      <c r="T43" s="4" t="s">
        <v>360</v>
      </c>
      <c r="U43" s="4" t="s">
        <v>406</v>
      </c>
      <c r="V43" s="4" t="s">
        <v>413</v>
      </c>
      <c r="W43" s="4" t="s">
        <v>576</v>
      </c>
      <c r="X43" s="4" t="s">
        <v>432</v>
      </c>
      <c r="Y43" s="4" t="s">
        <v>694</v>
      </c>
      <c r="Z43" s="4" t="s">
        <v>456</v>
      </c>
      <c r="AA43" s="4" t="s">
        <v>656</v>
      </c>
      <c r="AB43" s="4" t="s">
        <v>332</v>
      </c>
      <c r="AC43" s="4" t="s">
        <v>507</v>
      </c>
    </row>
    <row r="44" spans="1:29" x14ac:dyDescent="0.25">
      <c r="A44" s="4">
        <v>177</v>
      </c>
      <c r="B44" s="4" t="s">
        <v>708</v>
      </c>
      <c r="C44" s="4" t="s">
        <v>709</v>
      </c>
      <c r="D44" s="4" t="s">
        <v>54</v>
      </c>
      <c r="E44" s="4" t="s">
        <v>564</v>
      </c>
      <c r="F44" s="4" t="s">
        <v>554</v>
      </c>
      <c r="G44" s="4"/>
      <c r="H44" s="4" t="s">
        <v>712</v>
      </c>
      <c r="I44" s="4" t="s">
        <v>713</v>
      </c>
      <c r="J44" s="5" t="s">
        <v>765</v>
      </c>
      <c r="K44" s="5" t="s">
        <v>775</v>
      </c>
      <c r="L44" s="5" t="s">
        <v>776</v>
      </c>
      <c r="M44" s="4">
        <f>VLOOKUP(TabINV2026[[#This Row],[Estado2]],Tabla!$A$2:$B$6,2,FALSE)</f>
        <v>1</v>
      </c>
      <c r="N44" s="4" t="s">
        <v>757</v>
      </c>
      <c r="O44" s="4" t="s">
        <v>573</v>
      </c>
      <c r="P44" s="4"/>
      <c r="Q44" s="4" t="s">
        <v>386</v>
      </c>
      <c r="R44" s="4" t="s">
        <v>20</v>
      </c>
      <c r="S44" s="4" t="s">
        <v>21</v>
      </c>
      <c r="T44" s="4" t="s">
        <v>362</v>
      </c>
      <c r="U44" s="4" t="s">
        <v>676</v>
      </c>
      <c r="V44" s="4" t="s">
        <v>414</v>
      </c>
      <c r="W44" s="4" t="s">
        <v>576</v>
      </c>
      <c r="X44" s="4" t="s">
        <v>278</v>
      </c>
      <c r="Y44" s="4" t="s">
        <v>696</v>
      </c>
      <c r="Z44" s="4" t="s">
        <v>455</v>
      </c>
      <c r="AA44" s="4" t="s">
        <v>657</v>
      </c>
      <c r="AB44" s="4" t="s">
        <v>332</v>
      </c>
      <c r="AC44" s="4" t="s">
        <v>508</v>
      </c>
    </row>
    <row r="45" spans="1:29" hidden="1" x14ac:dyDescent="0.25">
      <c r="A45" s="4" t="s">
        <v>713</v>
      </c>
      <c r="B45" s="39" t="s">
        <v>183</v>
      </c>
      <c r="C45" s="39" t="s">
        <v>596</v>
      </c>
      <c r="D45" s="4" t="s">
        <v>20</v>
      </c>
      <c r="E45" t="s">
        <v>531</v>
      </c>
      <c r="F45" s="40" t="s">
        <v>569</v>
      </c>
      <c r="G45" s="40">
        <v>3</v>
      </c>
      <c r="H45" s="40" t="s">
        <v>676</v>
      </c>
      <c r="I45" s="55"/>
      <c r="J45" s="55">
        <v>1</v>
      </c>
      <c r="K45" s="53">
        <v>1</v>
      </c>
      <c r="L45" s="51" t="s">
        <v>843</v>
      </c>
      <c r="M45" s="4" t="e">
        <f>VLOOKUP(TabINV2026[[#This Row],[Estado2]],Tabla!$A$2:$B$6,2,FALSE)</f>
        <v>#N/A</v>
      </c>
      <c r="N45" s="4" t="s">
        <v>757</v>
      </c>
      <c r="O45" s="4" t="s">
        <v>845</v>
      </c>
      <c r="P45" s="4">
        <v>7</v>
      </c>
      <c r="Q45" s="4" t="s">
        <v>844</v>
      </c>
      <c r="R45" s="50" t="s">
        <v>40</v>
      </c>
      <c r="S45" s="50" t="s">
        <v>188</v>
      </c>
      <c r="T45" s="50" t="s">
        <v>767</v>
      </c>
      <c r="U45" s="49" t="s">
        <v>406</v>
      </c>
      <c r="V45" s="50" t="s">
        <v>768</v>
      </c>
      <c r="W45" s="50" t="s">
        <v>682</v>
      </c>
      <c r="X45" s="50" t="s">
        <v>769</v>
      </c>
      <c r="Y45" s="50" t="s">
        <v>770</v>
      </c>
      <c r="Z45" s="50" t="s">
        <v>770</v>
      </c>
      <c r="AA45" s="4"/>
      <c r="AB45" s="4" t="s">
        <v>846</v>
      </c>
      <c r="AC45" s="4"/>
    </row>
    <row r="46" spans="1:29" hidden="1" x14ac:dyDescent="0.25">
      <c r="A46" s="4"/>
      <c r="B46" s="39"/>
      <c r="C46" s="39"/>
      <c r="D46" s="4"/>
      <c r="E46" t="s">
        <v>309</v>
      </c>
      <c r="F46" t="s">
        <v>571</v>
      </c>
      <c r="G46">
        <v>7</v>
      </c>
      <c r="H46" t="s">
        <v>677</v>
      </c>
      <c r="I46" s="55"/>
      <c r="J46" s="55">
        <v>1</v>
      </c>
      <c r="K46" s="53">
        <v>1</v>
      </c>
      <c r="L46" s="5" t="s">
        <v>776</v>
      </c>
      <c r="M46" s="4" t="e">
        <f>VLOOKUP(TabINV2026[[#This Row],[Estado2]],Tabla!$A$2:$B$6,2,FALSE)</f>
        <v>#N/A</v>
      </c>
      <c r="N46" s="4" t="s">
        <v>714</v>
      </c>
      <c r="O46" s="4" t="s">
        <v>570</v>
      </c>
      <c r="P46" s="4">
        <v>11</v>
      </c>
      <c r="Q46" s="4" t="s">
        <v>165</v>
      </c>
      <c r="R46" s="4" t="s">
        <v>20</v>
      </c>
      <c r="S46" s="4" t="s">
        <v>21</v>
      </c>
      <c r="T46" s="4" t="s">
        <v>360</v>
      </c>
      <c r="U46" s="4" t="s">
        <v>406</v>
      </c>
      <c r="V46" s="4" t="s">
        <v>416</v>
      </c>
      <c r="W46" s="4" t="s">
        <v>686</v>
      </c>
      <c r="X46" s="4" t="s">
        <v>433</v>
      </c>
      <c r="Y46" s="4" t="s">
        <v>693</v>
      </c>
      <c r="Z46" s="4" t="s">
        <v>457</v>
      </c>
      <c r="AA46" s="4" t="s">
        <v>659</v>
      </c>
      <c r="AB46" s="4" t="s">
        <v>332</v>
      </c>
      <c r="AC46" s="4" t="s">
        <v>510</v>
      </c>
    </row>
    <row r="47" spans="1:29" hidden="1" x14ac:dyDescent="0.25">
      <c r="A47" s="4"/>
      <c r="B47" s="39"/>
      <c r="C47" s="39"/>
      <c r="D47" s="4"/>
      <c r="E47" t="s">
        <v>532</v>
      </c>
      <c r="F47" s="40" t="s">
        <v>569</v>
      </c>
      <c r="G47" s="40">
        <v>3</v>
      </c>
      <c r="H47" s="40" t="s">
        <v>676</v>
      </c>
      <c r="I47" s="55"/>
      <c r="J47" s="55">
        <v>1</v>
      </c>
      <c r="K47" s="53">
        <v>1</v>
      </c>
      <c r="L47" s="5" t="s">
        <v>776</v>
      </c>
      <c r="M47" s="4" t="e">
        <f>VLOOKUP(TabINV2026[[#This Row],[Estado2]],Tabla!$A$2:$B$6,2,FALSE)</f>
        <v>#N/A</v>
      </c>
      <c r="N47" s="4" t="s">
        <v>714</v>
      </c>
      <c r="O47" s="4" t="s">
        <v>570</v>
      </c>
      <c r="P47" s="4">
        <v>11</v>
      </c>
      <c r="Q47" s="4" t="s">
        <v>165</v>
      </c>
      <c r="R47" s="4" t="s">
        <v>20</v>
      </c>
      <c r="S47" s="4" t="s">
        <v>21</v>
      </c>
      <c r="T47" s="4" t="s">
        <v>360</v>
      </c>
      <c r="U47" s="4" t="s">
        <v>406</v>
      </c>
      <c r="V47" s="4" t="s">
        <v>285</v>
      </c>
      <c r="W47" s="4" t="s">
        <v>686</v>
      </c>
      <c r="X47" s="4" t="s">
        <v>434</v>
      </c>
      <c r="Y47" s="4" t="s">
        <v>692</v>
      </c>
      <c r="Z47" s="4" t="s">
        <v>444</v>
      </c>
      <c r="AA47" s="4" t="s">
        <v>660</v>
      </c>
      <c r="AB47" s="4" t="s">
        <v>332</v>
      </c>
      <c r="AC47" s="4" t="s">
        <v>511</v>
      </c>
    </row>
    <row r="48" spans="1:29" hidden="1" x14ac:dyDescent="0.25">
      <c r="A48" s="4"/>
      <c r="B48" s="39"/>
      <c r="C48" s="39"/>
      <c r="D48" s="4"/>
      <c r="E48" t="s">
        <v>764</v>
      </c>
      <c r="F48" t="s">
        <v>571</v>
      </c>
      <c r="G48">
        <v>7</v>
      </c>
      <c r="H48" t="s">
        <v>677</v>
      </c>
      <c r="I48" s="55"/>
      <c r="J48" s="55">
        <v>1</v>
      </c>
      <c r="K48" s="53">
        <v>1</v>
      </c>
      <c r="L48" s="48" t="s">
        <v>778</v>
      </c>
      <c r="M48" s="4" t="e">
        <f>VLOOKUP(TabINV2026[[#This Row],[Estado2]],Tabla!$A$2:$B$6,2,FALSE)</f>
        <v>#N/A</v>
      </c>
      <c r="N48" s="4" t="s">
        <v>758</v>
      </c>
      <c r="O48" s="4" t="s">
        <v>569</v>
      </c>
      <c r="P48" s="4">
        <v>11</v>
      </c>
      <c r="Q48" s="4" t="s">
        <v>69</v>
      </c>
      <c r="R48" s="4" t="s">
        <v>20</v>
      </c>
      <c r="S48" s="4" t="s">
        <v>21</v>
      </c>
      <c r="T48" s="4" t="s">
        <v>361</v>
      </c>
      <c r="U48" s="4" t="s">
        <v>677</v>
      </c>
      <c r="V48" s="4" t="s">
        <v>417</v>
      </c>
      <c r="W48" s="4" t="s">
        <v>576</v>
      </c>
      <c r="X48" s="4" t="s">
        <v>435</v>
      </c>
      <c r="Y48" s="4"/>
      <c r="Z48" s="4"/>
      <c r="AA48" s="4" t="s">
        <v>661</v>
      </c>
      <c r="AB48" s="4" t="s">
        <v>483</v>
      </c>
      <c r="AC48" s="4" t="s">
        <v>512</v>
      </c>
    </row>
    <row r="49" spans="1:29" hidden="1" x14ac:dyDescent="0.25">
      <c r="A49" s="4"/>
      <c r="B49" s="39"/>
      <c r="C49" s="39"/>
      <c r="D49" s="4"/>
      <c r="E49" t="s">
        <v>771</v>
      </c>
      <c r="F49" s="40" t="s">
        <v>569</v>
      </c>
      <c r="G49" s="40">
        <v>3</v>
      </c>
      <c r="H49" t="s">
        <v>678</v>
      </c>
      <c r="I49" s="55"/>
      <c r="J49" s="55">
        <v>1</v>
      </c>
      <c r="K49" s="53">
        <v>1</v>
      </c>
      <c r="L49" s="5" t="s">
        <v>776</v>
      </c>
      <c r="M49" s="4" t="e">
        <f>VLOOKUP(TabINV2026[[#This Row],[Estado2]],Tabla!$A$2:$B$6,2,FALSE)</f>
        <v>#N/A</v>
      </c>
      <c r="N49" s="4" t="s">
        <v>758</v>
      </c>
      <c r="O49" s="4" t="s">
        <v>569</v>
      </c>
      <c r="P49" s="4">
        <v>10</v>
      </c>
      <c r="Q49" s="4" t="s">
        <v>305</v>
      </c>
      <c r="R49" s="4" t="s">
        <v>20</v>
      </c>
      <c r="S49" s="4" t="s">
        <v>21</v>
      </c>
      <c r="T49" s="4" t="s">
        <v>350</v>
      </c>
      <c r="U49" s="4" t="s">
        <v>677</v>
      </c>
      <c r="V49" s="4" t="s">
        <v>403</v>
      </c>
      <c r="W49" s="4" t="s">
        <v>576</v>
      </c>
      <c r="X49" s="4" t="s">
        <v>424</v>
      </c>
      <c r="Y49" s="4" t="s">
        <v>696</v>
      </c>
      <c r="Z49" s="4" t="s">
        <v>459</v>
      </c>
      <c r="AA49" s="4" t="s">
        <v>662</v>
      </c>
      <c r="AB49" s="4" t="s">
        <v>332</v>
      </c>
      <c r="AC49" s="4" t="s">
        <v>513</v>
      </c>
    </row>
    <row r="50" spans="1:29" hidden="1" x14ac:dyDescent="0.25">
      <c r="A50" s="4"/>
      <c r="B50" s="39"/>
      <c r="C50" s="39"/>
      <c r="D50" s="4"/>
      <c r="E50" t="s">
        <v>772</v>
      </c>
      <c r="F50" t="s">
        <v>570</v>
      </c>
      <c r="G50">
        <v>4</v>
      </c>
      <c r="H50" t="s">
        <v>677</v>
      </c>
      <c r="I50" s="55"/>
      <c r="J50" s="55">
        <v>1</v>
      </c>
      <c r="K50" s="53">
        <v>1</v>
      </c>
      <c r="L50" s="5" t="s">
        <v>776</v>
      </c>
      <c r="M50" s="4" t="e">
        <f>VLOOKUP(TabINV2026[[#This Row],[Estado2]],Tabla!$A$2:$B$6,2,FALSE)</f>
        <v>#N/A</v>
      </c>
      <c r="N50" s="4" t="s">
        <v>714</v>
      </c>
      <c r="O50" s="4" t="s">
        <v>570</v>
      </c>
      <c r="P50" s="4">
        <v>11</v>
      </c>
      <c r="Q50" s="4" t="s">
        <v>165</v>
      </c>
      <c r="R50" s="4" t="s">
        <v>20</v>
      </c>
      <c r="S50" s="4" t="s">
        <v>21</v>
      </c>
      <c r="T50" s="4" t="s">
        <v>664</v>
      </c>
      <c r="U50" s="4" t="s">
        <v>406</v>
      </c>
      <c r="V50" s="4" t="s">
        <v>276</v>
      </c>
      <c r="W50" s="4" t="s">
        <v>682</v>
      </c>
      <c r="X50" s="4" t="s">
        <v>665</v>
      </c>
      <c r="Y50" s="4" t="s">
        <v>695</v>
      </c>
      <c r="Z50" s="4" t="s">
        <v>666</v>
      </c>
      <c r="AA50" s="4" t="s">
        <v>606</v>
      </c>
      <c r="AB50" s="4" t="s">
        <v>332</v>
      </c>
      <c r="AC50" s="4"/>
    </row>
    <row r="51" spans="1:29" hidden="1" x14ac:dyDescent="0.25">
      <c r="A51" s="4"/>
      <c r="B51" s="39" t="s">
        <v>100</v>
      </c>
      <c r="C51" s="39" t="s">
        <v>702</v>
      </c>
      <c r="D51" t="s">
        <v>20</v>
      </c>
      <c r="E51" t="s">
        <v>832</v>
      </c>
      <c r="F51" s="40" t="s">
        <v>571</v>
      </c>
      <c r="G51" s="40">
        <v>4</v>
      </c>
      <c r="H51" s="40" t="s">
        <v>676</v>
      </c>
      <c r="I51" s="55"/>
      <c r="J51" s="55">
        <v>1</v>
      </c>
      <c r="K51" s="53">
        <v>1</v>
      </c>
      <c r="L51" s="5" t="s">
        <v>776</v>
      </c>
      <c r="M51" s="4" t="e">
        <f>VLOOKUP(TabINV2026[[#This Row],[Estado2]],Tabla!$A$2:$B$6,2,FALSE)</f>
        <v>#N/A</v>
      </c>
      <c r="N51" s="4" t="s">
        <v>714</v>
      </c>
      <c r="O51" s="4" t="s">
        <v>570</v>
      </c>
      <c r="P51" s="4">
        <v>13</v>
      </c>
      <c r="Q51" s="4" t="s">
        <v>92</v>
      </c>
      <c r="R51" s="4" t="s">
        <v>40</v>
      </c>
      <c r="S51" s="4" t="s">
        <v>41</v>
      </c>
      <c r="T51" s="4" t="s">
        <v>329</v>
      </c>
      <c r="U51" s="4" t="s">
        <v>406</v>
      </c>
      <c r="V51" s="4" t="s">
        <v>376</v>
      </c>
      <c r="W51" s="4" t="s">
        <v>685</v>
      </c>
      <c r="X51" s="4" t="s">
        <v>705</v>
      </c>
      <c r="Y51" s="4" t="s">
        <v>700</v>
      </c>
      <c r="Z51" s="4" t="s">
        <v>700</v>
      </c>
      <c r="AA51" s="4"/>
      <c r="AB51" s="4"/>
      <c r="AC51" s="4"/>
    </row>
    <row r="52" spans="1:29" hidden="1" x14ac:dyDescent="0.25">
      <c r="A52" s="4"/>
      <c r="B52" s="39" t="s">
        <v>130</v>
      </c>
      <c r="C52" s="39" t="s">
        <v>599</v>
      </c>
      <c r="D52" t="s">
        <v>20</v>
      </c>
      <c r="E52" t="s">
        <v>760</v>
      </c>
      <c r="F52" s="37" t="s">
        <v>571</v>
      </c>
      <c r="G52" s="40">
        <v>4</v>
      </c>
      <c r="H52" s="40" t="s">
        <v>677</v>
      </c>
      <c r="I52" s="55"/>
      <c r="J52" s="55">
        <v>1</v>
      </c>
      <c r="K52" s="53">
        <v>1</v>
      </c>
      <c r="L52" s="48" t="s">
        <v>778</v>
      </c>
      <c r="M52" s="4" t="e">
        <f>VLOOKUP(TabINV2026[[#This Row],[Estado2]],Tabla!$A$2:$B$6,2,FALSE)</f>
        <v>#N/A</v>
      </c>
      <c r="N52" s="4" t="s">
        <v>757</v>
      </c>
      <c r="O52" s="4" t="s">
        <v>569</v>
      </c>
      <c r="P52" s="4">
        <v>8</v>
      </c>
      <c r="Q52" s="4" t="s">
        <v>197</v>
      </c>
      <c r="R52" s="4" t="s">
        <v>40</v>
      </c>
      <c r="S52" s="4" t="s">
        <v>688</v>
      </c>
      <c r="T52" s="4" t="s">
        <v>719</v>
      </c>
      <c r="U52" s="4" t="s">
        <v>677</v>
      </c>
      <c r="V52" s="4" t="s">
        <v>720</v>
      </c>
      <c r="W52" s="4" t="s">
        <v>576</v>
      </c>
      <c r="X52" s="4" t="s">
        <v>438</v>
      </c>
      <c r="Y52" s="4" t="s">
        <v>691</v>
      </c>
      <c r="Z52" s="4" t="s">
        <v>721</v>
      </c>
      <c r="AA52" s="4" t="s">
        <v>722</v>
      </c>
      <c r="AB52" s="4" t="s">
        <v>468</v>
      </c>
      <c r="AC52" s="4" t="s">
        <v>743</v>
      </c>
    </row>
    <row r="53" spans="1:29" hidden="1" x14ac:dyDescent="0.25">
      <c r="A53" s="4"/>
      <c r="B53" s="39"/>
      <c r="C53" s="39"/>
      <c r="E53" t="s">
        <v>836</v>
      </c>
      <c r="F53" s="37" t="s">
        <v>571</v>
      </c>
      <c r="G53" s="40">
        <v>2</v>
      </c>
      <c r="H53" s="40" t="s">
        <v>676</v>
      </c>
      <c r="I53" s="55"/>
      <c r="J53" s="55">
        <v>1</v>
      </c>
      <c r="K53" s="53">
        <v>1</v>
      </c>
      <c r="L53" s="5" t="s">
        <v>776</v>
      </c>
      <c r="M53" s="4" t="e">
        <f>VLOOKUP(TabINV2026[[#This Row],[Estado2]],Tabla!$A$2:$B$6,2,FALSE)</f>
        <v>#N/A</v>
      </c>
      <c r="N53" s="4" t="s">
        <v>758</v>
      </c>
      <c r="O53" s="4" t="s">
        <v>569</v>
      </c>
      <c r="P53" s="4">
        <v>11</v>
      </c>
      <c r="Q53" s="4" t="s">
        <v>22</v>
      </c>
      <c r="R53" s="4" t="s">
        <v>20</v>
      </c>
      <c r="S53" s="4" t="s">
        <v>21</v>
      </c>
      <c r="T53" s="4" t="s">
        <v>725</v>
      </c>
      <c r="U53" s="4" t="s">
        <v>677</v>
      </c>
      <c r="V53" s="4" t="s">
        <v>726</v>
      </c>
      <c r="W53" s="4" t="s">
        <v>741</v>
      </c>
      <c r="X53" s="4" t="s">
        <v>727</v>
      </c>
      <c r="Y53" s="4" t="s">
        <v>696</v>
      </c>
      <c r="Z53" s="4" t="s">
        <v>728</v>
      </c>
      <c r="AA53" s="4" t="s">
        <v>729</v>
      </c>
      <c r="AB53" s="4" t="s">
        <v>639</v>
      </c>
      <c r="AC53" s="4" t="s">
        <v>730</v>
      </c>
    </row>
    <row r="54" spans="1:29" hidden="1" x14ac:dyDescent="0.25">
      <c r="A54" s="4"/>
      <c r="B54" s="39"/>
      <c r="C54" t="s">
        <v>702</v>
      </c>
      <c r="D54" t="s">
        <v>20</v>
      </c>
      <c r="E54" t="s">
        <v>833</v>
      </c>
      <c r="F54" t="s">
        <v>675</v>
      </c>
      <c r="G54">
        <v>5</v>
      </c>
      <c r="H54" t="s">
        <v>677</v>
      </c>
      <c r="I54" s="55"/>
      <c r="J54" s="55">
        <v>1</v>
      </c>
      <c r="K54" s="53">
        <v>1</v>
      </c>
      <c r="L54" s="5" t="s">
        <v>776</v>
      </c>
      <c r="M54" s="4" t="e">
        <f>VLOOKUP(TabINV2026[[#This Row],[Estado2]],Tabla!$A$2:$B$6,2,FALSE)</f>
        <v>#N/A</v>
      </c>
      <c r="N54" s="4" t="s">
        <v>714</v>
      </c>
      <c r="O54" s="4" t="s">
        <v>569</v>
      </c>
      <c r="P54" s="4">
        <v>11</v>
      </c>
      <c r="Q54" s="4" t="s">
        <v>69</v>
      </c>
      <c r="R54" s="4" t="s">
        <v>20</v>
      </c>
      <c r="S54" s="4" t="s">
        <v>21</v>
      </c>
      <c r="T54" s="4" t="s">
        <v>732</v>
      </c>
      <c r="U54" s="4" t="s">
        <v>406</v>
      </c>
      <c r="V54" s="4" t="s">
        <v>292</v>
      </c>
      <c r="W54" s="4" t="s">
        <v>686</v>
      </c>
      <c r="X54" s="4" t="s">
        <v>733</v>
      </c>
      <c r="Y54" s="4" t="s">
        <v>693</v>
      </c>
      <c r="Z54" s="4" t="s">
        <v>734</v>
      </c>
      <c r="AA54" s="4" t="s">
        <v>735</v>
      </c>
      <c r="AB54" s="4" t="s">
        <v>736</v>
      </c>
      <c r="AC54" s="4" t="s">
        <v>737</v>
      </c>
    </row>
    <row r="55" spans="1:29" hidden="1" x14ac:dyDescent="0.25">
      <c r="A55" s="4"/>
      <c r="B55" s="39"/>
      <c r="E55" t="s">
        <v>822</v>
      </c>
      <c r="F55" t="s">
        <v>675</v>
      </c>
      <c r="G55">
        <v>5</v>
      </c>
      <c r="H55" t="s">
        <v>677</v>
      </c>
      <c r="I55" s="55"/>
      <c r="J55" s="55">
        <v>1</v>
      </c>
      <c r="K55" s="53">
        <v>1</v>
      </c>
      <c r="L55" s="48" t="s">
        <v>778</v>
      </c>
      <c r="M55" s="4" t="e">
        <f>VLOOKUP(TabINV2026[[#This Row],[Estado2]],Tabla!$A$2:$B$6,2,FALSE)</f>
        <v>#N/A</v>
      </c>
      <c r="N55" s="4" t="s">
        <v>758</v>
      </c>
      <c r="O55" s="4" t="s">
        <v>569</v>
      </c>
      <c r="P55" s="4">
        <v>12</v>
      </c>
      <c r="Q55" s="4" t="s">
        <v>42</v>
      </c>
      <c r="R55" s="4" t="s">
        <v>40</v>
      </c>
      <c r="S55" s="4" t="s">
        <v>41</v>
      </c>
      <c r="T55" s="4" t="s">
        <v>738</v>
      </c>
      <c r="U55" s="4" t="s">
        <v>677</v>
      </c>
      <c r="V55" s="4" t="s">
        <v>739</v>
      </c>
      <c r="W55" s="4" t="s">
        <v>682</v>
      </c>
      <c r="X55" s="4" t="s">
        <v>740</v>
      </c>
      <c r="Y55" s="4" t="s">
        <v>700</v>
      </c>
      <c r="Z55" s="4" t="s">
        <v>742</v>
      </c>
      <c r="AA55" s="4" t="s">
        <v>687</v>
      </c>
      <c r="AB55" s="4" t="s">
        <v>831</v>
      </c>
      <c r="AC55" s="4" t="s">
        <v>294</v>
      </c>
    </row>
    <row r="56" spans="1:29" hidden="1" x14ac:dyDescent="0.25">
      <c r="A56" s="4"/>
      <c r="B56" s="39" t="s">
        <v>73</v>
      </c>
      <c r="C56" s="39" t="s">
        <v>628</v>
      </c>
      <c r="D56" t="s">
        <v>20</v>
      </c>
      <c r="E56" t="s">
        <v>546</v>
      </c>
      <c r="F56" s="40" t="s">
        <v>569</v>
      </c>
      <c r="G56">
        <v>4</v>
      </c>
      <c r="H56" s="40" t="s">
        <v>677</v>
      </c>
      <c r="I56" s="55"/>
      <c r="J56" s="55">
        <v>1</v>
      </c>
      <c r="K56" s="53">
        <v>1</v>
      </c>
      <c r="L56" s="5" t="s">
        <v>776</v>
      </c>
      <c r="M56" s="4" t="e">
        <f>VLOOKUP(TabINV2026[[#This Row],[Estado2]],Tabla!$A$2:$B$6,2,FALSE)</f>
        <v>#N/A</v>
      </c>
      <c r="N56" s="4" t="s">
        <v>757</v>
      </c>
      <c r="O56" s="4" t="s">
        <v>571</v>
      </c>
      <c r="P56" s="4">
        <v>7</v>
      </c>
      <c r="Q56" s="4" t="s">
        <v>597</v>
      </c>
      <c r="R56" s="4" t="s">
        <v>20</v>
      </c>
      <c r="S56" s="4" t="s">
        <v>21</v>
      </c>
      <c r="T56" s="4" t="s">
        <v>335</v>
      </c>
      <c r="U56" s="4" t="s">
        <v>677</v>
      </c>
      <c r="V56" s="4" t="s">
        <v>389</v>
      </c>
      <c r="W56" s="4" t="s">
        <v>576</v>
      </c>
      <c r="X56" s="4" t="s">
        <v>419</v>
      </c>
      <c r="Y56" s="4" t="s">
        <v>693</v>
      </c>
      <c r="Z56" s="4" t="s">
        <v>462</v>
      </c>
      <c r="AA56" s="4" t="s">
        <v>598</v>
      </c>
      <c r="AB56" s="4" t="s">
        <v>466</v>
      </c>
      <c r="AC56" s="4" t="s">
        <v>516</v>
      </c>
    </row>
    <row r="57" spans="1:29" hidden="1" x14ac:dyDescent="0.25">
      <c r="A57" s="4"/>
      <c r="B57" s="39"/>
      <c r="C57" s="39" t="s">
        <v>88</v>
      </c>
      <c r="D57" t="s">
        <v>20</v>
      </c>
      <c r="E57" t="s">
        <v>545</v>
      </c>
      <c r="F57" s="40" t="s">
        <v>571</v>
      </c>
      <c r="G57">
        <v>4</v>
      </c>
      <c r="H57" s="40" t="s">
        <v>677</v>
      </c>
      <c r="I57" s="55"/>
      <c r="J57" s="55">
        <v>1</v>
      </c>
      <c r="K57" s="53">
        <v>1</v>
      </c>
      <c r="L57" s="5" t="s">
        <v>776</v>
      </c>
      <c r="M57" s="4" t="e">
        <f>VLOOKUP(TabINV2026[[#This Row],[Estado2]],Tabla!$A$2:$B$6,2,FALSE)</f>
        <v>#N/A</v>
      </c>
      <c r="N57" s="4" t="s">
        <v>757</v>
      </c>
      <c r="O57" s="4" t="s">
        <v>569</v>
      </c>
      <c r="P57" s="4">
        <v>3</v>
      </c>
      <c r="Q57" s="4" t="s">
        <v>377</v>
      </c>
      <c r="R57" s="4" t="s">
        <v>20</v>
      </c>
      <c r="S57" s="4" t="s">
        <v>21</v>
      </c>
      <c r="T57" s="4" t="s">
        <v>363</v>
      </c>
      <c r="U57" s="4" t="s">
        <v>678</v>
      </c>
      <c r="V57" s="4" t="s">
        <v>415</v>
      </c>
      <c r="W57" s="4" t="s">
        <v>576</v>
      </c>
      <c r="X57" s="4" t="s">
        <v>278</v>
      </c>
      <c r="Y57" s="4" t="s">
        <v>696</v>
      </c>
      <c r="Z57" s="4" t="s">
        <v>455</v>
      </c>
      <c r="AA57" s="4" t="s">
        <v>658</v>
      </c>
      <c r="AB57" s="4" t="s">
        <v>332</v>
      </c>
      <c r="AC57" s="4" t="s">
        <v>509</v>
      </c>
    </row>
    <row r="58" spans="1:29" hidden="1" x14ac:dyDescent="0.25">
      <c r="A58" s="4"/>
      <c r="B58" s="39" t="s">
        <v>708</v>
      </c>
      <c r="C58" s="39" t="s">
        <v>709</v>
      </c>
      <c r="D58" t="s">
        <v>20</v>
      </c>
      <c r="E58" t="s">
        <v>554</v>
      </c>
      <c r="F58" s="40" t="s">
        <v>573</v>
      </c>
      <c r="G58" s="40" t="s">
        <v>756</v>
      </c>
      <c r="H58" s="40" t="s">
        <v>676</v>
      </c>
      <c r="I58" s="55">
        <v>1</v>
      </c>
      <c r="J58" s="55"/>
      <c r="K58" s="53">
        <v>1</v>
      </c>
      <c r="L58" s="48" t="s">
        <v>778</v>
      </c>
      <c r="M58" s="4" t="e">
        <f>VLOOKUP(TabINV2026[[#This Row],[Estado2]],Tabla!$A$2:$B$6,2,FALSE)</f>
        <v>#N/A</v>
      </c>
      <c r="N58" s="4" t="s">
        <v>757</v>
      </c>
      <c r="O58" s="4" t="s">
        <v>570</v>
      </c>
      <c r="P58" s="4">
        <v>4</v>
      </c>
      <c r="Q58" s="4" t="s">
        <v>378</v>
      </c>
      <c r="R58" s="4" t="s">
        <v>20</v>
      </c>
      <c r="S58" s="4" t="s">
        <v>21</v>
      </c>
      <c r="T58" s="4" t="s">
        <v>337</v>
      </c>
      <c r="U58" s="4" t="s">
        <v>677</v>
      </c>
      <c r="V58" s="4" t="s">
        <v>398</v>
      </c>
      <c r="W58" s="4" t="s">
        <v>576</v>
      </c>
      <c r="X58" s="4" t="s">
        <v>418</v>
      </c>
      <c r="Y58" s="4" t="s">
        <v>694</v>
      </c>
      <c r="Z58" s="4" t="s">
        <v>442</v>
      </c>
      <c r="AA58" s="4" t="s">
        <v>616</v>
      </c>
      <c r="AB58" s="4" t="s">
        <v>472</v>
      </c>
      <c r="AC58" s="4" t="s">
        <v>486</v>
      </c>
    </row>
    <row r="59" spans="1:29" hidden="1" x14ac:dyDescent="0.25">
      <c r="A59" s="40" t="s">
        <v>754</v>
      </c>
      <c r="B59" s="40"/>
      <c r="C59" s="40"/>
      <c r="D59" s="40"/>
      <c r="E59" s="40"/>
      <c r="F59" s="40"/>
      <c r="G59" s="40"/>
      <c r="H59" s="40"/>
      <c r="I59" s="55">
        <v>1</v>
      </c>
      <c r="J59" s="55">
        <v>13</v>
      </c>
      <c r="K59" s="53">
        <v>14</v>
      </c>
      <c r="L59" s="5" t="s">
        <v>776</v>
      </c>
      <c r="M59" s="6" t="e">
        <f>VLOOKUP(TabINV2026[[#This Row],[Estado2]],Tabla!$A$2:$B$6,2,FALSE)</f>
        <v>#N/A</v>
      </c>
      <c r="N59" s="6" t="s">
        <v>766</v>
      </c>
      <c r="O59" s="6" t="s">
        <v>570</v>
      </c>
      <c r="P59" s="6">
        <v>13</v>
      </c>
      <c r="Q59" s="6" t="s">
        <v>92</v>
      </c>
      <c r="R59" s="6" t="s">
        <v>40</v>
      </c>
      <c r="S59" s="6" t="s">
        <v>188</v>
      </c>
      <c r="T59" s="6" t="s">
        <v>767</v>
      </c>
      <c r="U59" s="4" t="s">
        <v>406</v>
      </c>
      <c r="V59" s="6" t="s">
        <v>768</v>
      </c>
      <c r="W59" s="6" t="s">
        <v>682</v>
      </c>
      <c r="X59" s="6" t="s">
        <v>769</v>
      </c>
      <c r="Y59" s="6" t="s">
        <v>770</v>
      </c>
      <c r="Z59" s="6" t="s">
        <v>770</v>
      </c>
      <c r="AA59" s="6"/>
      <c r="AB59" s="6"/>
      <c r="AC59" s="6"/>
    </row>
    <row r="60" spans="1:29" x14ac:dyDescent="0.25">
      <c r="A60" s="6">
        <v>200</v>
      </c>
      <c r="B60" s="6" t="s">
        <v>100</v>
      </c>
      <c r="C60" s="6" t="s">
        <v>706</v>
      </c>
      <c r="D60" s="6"/>
      <c r="E60" s="6"/>
      <c r="F60" s="6"/>
      <c r="G60" s="6" t="s">
        <v>780</v>
      </c>
      <c r="H60" s="6" t="s">
        <v>765</v>
      </c>
      <c r="I60" s="6" t="s">
        <v>766</v>
      </c>
      <c r="J60" s="5" t="s">
        <v>765</v>
      </c>
      <c r="K60" s="5" t="s">
        <v>775</v>
      </c>
      <c r="L60" s="5" t="s">
        <v>776</v>
      </c>
      <c r="M60" s="6" t="e">
        <f>VLOOKUP(TabINV2026[[#This Row],[Estado2]],Tabla!$A$2:$B$6,2,FALSE)</f>
        <v>#N/A</v>
      </c>
      <c r="N60" s="6" t="s">
        <v>766</v>
      </c>
      <c r="O60" s="6" t="s">
        <v>570</v>
      </c>
      <c r="P60" s="6">
        <v>13</v>
      </c>
      <c r="Q60" s="6" t="s">
        <v>92</v>
      </c>
      <c r="R60" s="6" t="s">
        <v>40</v>
      </c>
      <c r="S60" s="6" t="s">
        <v>188</v>
      </c>
      <c r="T60" s="6" t="s">
        <v>767</v>
      </c>
      <c r="U60" s="4" t="s">
        <v>406</v>
      </c>
      <c r="V60" s="6" t="s">
        <v>768</v>
      </c>
      <c r="W60" s="6" t="s">
        <v>682</v>
      </c>
      <c r="X60" s="6" t="s">
        <v>769</v>
      </c>
      <c r="Y60" s="6" t="s">
        <v>770</v>
      </c>
      <c r="Z60" s="6" t="s">
        <v>770</v>
      </c>
      <c r="AA60" s="6"/>
      <c r="AB60" s="6"/>
      <c r="AC60" s="6"/>
    </row>
    <row r="61" spans="1:29" x14ac:dyDescent="0.25">
      <c r="A61" s="6">
        <v>200</v>
      </c>
      <c r="B61" s="6" t="s">
        <v>153</v>
      </c>
      <c r="C61" s="6" t="s">
        <v>663</v>
      </c>
      <c r="D61" s="6"/>
      <c r="E61" s="6"/>
      <c r="F61" s="6"/>
      <c r="G61" s="6" t="s">
        <v>781</v>
      </c>
      <c r="H61" s="6" t="s">
        <v>765</v>
      </c>
      <c r="I61" s="6" t="s">
        <v>766</v>
      </c>
      <c r="J61" s="5" t="s">
        <v>765</v>
      </c>
      <c r="K61" s="48" t="s">
        <v>777</v>
      </c>
      <c r="L61" s="48" t="s">
        <v>778</v>
      </c>
      <c r="M61" s="6" t="e">
        <f>VLOOKUP(TabINV2026[[#This Row],[Estado2]],Tabla!$A$2:$B$6,2,FALSE)</f>
        <v>#N/A</v>
      </c>
      <c r="N61" s="6" t="s">
        <v>766</v>
      </c>
      <c r="O61" s="6" t="s">
        <v>570</v>
      </c>
      <c r="P61" s="6"/>
      <c r="Q61" s="6"/>
      <c r="R61" s="6"/>
      <c r="S61" s="6"/>
      <c r="T61" s="6"/>
      <c r="U61" s="4"/>
      <c r="V61" s="6"/>
      <c r="W61" s="6"/>
      <c r="X61" s="6"/>
      <c r="Y61" s="6"/>
      <c r="Z61" s="6"/>
      <c r="AA61" s="6"/>
      <c r="AB61" s="6"/>
      <c r="AC61" s="6"/>
    </row>
    <row r="62" spans="1:29" x14ac:dyDescent="0.25">
      <c r="A62" s="6" t="s">
        <v>782</v>
      </c>
      <c r="B62" s="6" t="s">
        <v>708</v>
      </c>
      <c r="C62" s="6" t="s">
        <v>709</v>
      </c>
      <c r="D62" s="6"/>
      <c r="E62" s="6"/>
      <c r="F62" s="6"/>
      <c r="G62" s="6" t="s">
        <v>783</v>
      </c>
      <c r="H62" s="6" t="s">
        <v>765</v>
      </c>
      <c r="I62" s="6" t="s">
        <v>766</v>
      </c>
      <c r="J62" s="5" t="s">
        <v>765</v>
      </c>
      <c r="K62" s="48" t="s">
        <v>777</v>
      </c>
      <c r="L62" s="48" t="s">
        <v>778</v>
      </c>
      <c r="M62" s="6" t="e">
        <f>VLOOKUP(TabINV2026[[#This Row],[Estado2]],Tabla!$A$2:$B$6,2,FALSE)</f>
        <v>#N/A</v>
      </c>
      <c r="N62" s="6" t="s">
        <v>766</v>
      </c>
      <c r="O62" s="6" t="s">
        <v>570</v>
      </c>
      <c r="P62" s="6"/>
      <c r="Q62" s="6"/>
      <c r="R62" s="6"/>
      <c r="S62" s="6"/>
      <c r="T62" s="6"/>
      <c r="U62" s="4"/>
      <c r="V62" s="6"/>
      <c r="W62" s="6"/>
      <c r="X62" s="6"/>
      <c r="Y62" s="6"/>
      <c r="Z62" s="6"/>
      <c r="AA62" s="6"/>
      <c r="AB62" s="6"/>
      <c r="AC62" s="6"/>
    </row>
    <row r="63" spans="1:29" x14ac:dyDescent="0.25">
      <c r="A63" s="6" t="s">
        <v>782</v>
      </c>
      <c r="B63" s="6" t="s">
        <v>708</v>
      </c>
      <c r="C63" s="6" t="s">
        <v>709</v>
      </c>
      <c r="D63" s="6"/>
      <c r="E63" s="6"/>
      <c r="F63" s="6"/>
      <c r="G63" s="6" t="s">
        <v>783</v>
      </c>
      <c r="H63" s="6" t="s">
        <v>765</v>
      </c>
      <c r="I63" s="6" t="s">
        <v>766</v>
      </c>
      <c r="J63" s="5" t="s">
        <v>765</v>
      </c>
      <c r="K63" s="48" t="s">
        <v>777</v>
      </c>
      <c r="L63" s="48" t="s">
        <v>778</v>
      </c>
      <c r="M63" s="6" t="e">
        <f>VLOOKUP(TabINV2026[[#This Row],[Estado2]],Tabla!$A$2:$B$6,2,FALSE)</f>
        <v>#N/A</v>
      </c>
      <c r="N63" s="6" t="s">
        <v>766</v>
      </c>
      <c r="O63" s="6" t="s">
        <v>570</v>
      </c>
      <c r="P63" s="6"/>
      <c r="Q63" s="6"/>
      <c r="R63" s="6"/>
      <c r="S63" s="6"/>
      <c r="T63" s="6"/>
      <c r="U63" s="4"/>
      <c r="V63" s="6"/>
      <c r="W63" s="6"/>
      <c r="X63" s="6"/>
      <c r="Y63" s="6"/>
      <c r="Z63" s="6"/>
      <c r="AA63" s="6"/>
      <c r="AB63" s="6"/>
      <c r="AC63" s="6"/>
    </row>
    <row r="64" spans="1:29" x14ac:dyDescent="0.25">
      <c r="A64" s="6" t="s">
        <v>782</v>
      </c>
      <c r="B64" s="6" t="s">
        <v>708</v>
      </c>
      <c r="C64" s="6" t="s">
        <v>709</v>
      </c>
      <c r="D64" s="6"/>
      <c r="E64" s="6"/>
      <c r="F64" s="6"/>
      <c r="G64" s="6" t="s">
        <v>783</v>
      </c>
      <c r="H64" s="6" t="s">
        <v>765</v>
      </c>
      <c r="I64" s="6" t="s">
        <v>766</v>
      </c>
      <c r="J64" s="5" t="s">
        <v>765</v>
      </c>
      <c r="K64" s="5" t="s">
        <v>777</v>
      </c>
      <c r="L64" s="5" t="s">
        <v>778</v>
      </c>
      <c r="M64" s="6" t="e">
        <f>VLOOKUP(TabINV2026[[#This Row],[Estado2]],Tabla!$A$2:$B$6,2,FALSE)</f>
        <v>#N/A</v>
      </c>
      <c r="N64" s="6" t="s">
        <v>766</v>
      </c>
      <c r="O64" s="6" t="s">
        <v>570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25">
      <c r="A65" s="6" t="s">
        <v>782</v>
      </c>
      <c r="B65" s="6" t="s">
        <v>708</v>
      </c>
      <c r="C65" s="6" t="s">
        <v>709</v>
      </c>
      <c r="D65" s="6"/>
      <c r="E65" s="6"/>
      <c r="F65" s="6"/>
      <c r="G65" s="6" t="s">
        <v>784</v>
      </c>
      <c r="H65" s="6" t="s">
        <v>765</v>
      </c>
      <c r="I65" s="6" t="s">
        <v>766</v>
      </c>
      <c r="J65" s="5" t="s">
        <v>765</v>
      </c>
      <c r="K65" s="5" t="s">
        <v>777</v>
      </c>
      <c r="L65" s="5" t="s">
        <v>778</v>
      </c>
      <c r="M65" s="6" t="e">
        <f>VLOOKUP(TabINV2026[[#This Row],[Estado2]],Tabla!$A$2:$B$6,2,FALSE)</f>
        <v>#N/A</v>
      </c>
      <c r="N65" s="6" t="s">
        <v>766</v>
      </c>
      <c r="O65" s="6" t="s">
        <v>570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25">
      <c r="A66" s="6" t="s">
        <v>782</v>
      </c>
      <c r="B66" s="6" t="s">
        <v>708</v>
      </c>
      <c r="C66" s="6" t="s">
        <v>709</v>
      </c>
      <c r="D66" s="6"/>
      <c r="E66" s="6"/>
      <c r="F66" s="6"/>
      <c r="G66" s="6" t="s">
        <v>784</v>
      </c>
      <c r="H66" s="6" t="s">
        <v>765</v>
      </c>
      <c r="I66" s="6" t="s">
        <v>766</v>
      </c>
      <c r="J66" s="5" t="s">
        <v>765</v>
      </c>
      <c r="K66" s="5" t="s">
        <v>777</v>
      </c>
      <c r="L66" s="5" t="s">
        <v>778</v>
      </c>
      <c r="M66" s="6" t="e">
        <f>VLOOKUP(TabINV2026[[#This Row],[Estado2]],Tabla!$A$2:$B$6,2,FALSE)</f>
        <v>#N/A</v>
      </c>
      <c r="N66" s="6" t="s">
        <v>766</v>
      </c>
      <c r="O66" s="6" t="s">
        <v>570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x14ac:dyDescent="0.25">
      <c r="A67" s="6">
        <v>177</v>
      </c>
      <c r="B67" s="6" t="s">
        <v>113</v>
      </c>
      <c r="C67" s="6" t="s">
        <v>785</v>
      </c>
      <c r="D67" s="6"/>
      <c r="E67" s="6"/>
      <c r="F67" s="6"/>
      <c r="G67" s="6" t="s">
        <v>786</v>
      </c>
      <c r="H67" s="6" t="s">
        <v>765</v>
      </c>
      <c r="I67" s="6" t="s">
        <v>766</v>
      </c>
      <c r="J67" s="5" t="s">
        <v>765</v>
      </c>
      <c r="K67" s="5" t="s">
        <v>775</v>
      </c>
      <c r="L67" s="5" t="s">
        <v>776</v>
      </c>
      <c r="M67" s="6" t="e">
        <f>VLOOKUP(TabINV2026[[#This Row],[Estado2]],Tabla!$A$2:$B$6,2,FALSE)</f>
        <v>#N/A</v>
      </c>
      <c r="N67" s="6" t="s">
        <v>766</v>
      </c>
      <c r="O67" s="6" t="s">
        <v>570</v>
      </c>
      <c r="P67" s="6">
        <v>13</v>
      </c>
      <c r="Q67" s="6" t="s">
        <v>92</v>
      </c>
      <c r="R67" s="6" t="s">
        <v>40</v>
      </c>
      <c r="S67" s="6" t="s">
        <v>188</v>
      </c>
      <c r="T67" s="6" t="s">
        <v>767</v>
      </c>
      <c r="U67" s="4" t="s">
        <v>406</v>
      </c>
      <c r="V67" s="6" t="s">
        <v>768</v>
      </c>
      <c r="W67" s="6" t="s">
        <v>682</v>
      </c>
      <c r="X67" s="6" t="s">
        <v>769</v>
      </c>
      <c r="Y67" s="6" t="s">
        <v>770</v>
      </c>
      <c r="Z67" s="6" t="s">
        <v>770</v>
      </c>
      <c r="AA67" s="6"/>
      <c r="AB67" s="6"/>
      <c r="AC67" s="6"/>
    </row>
    <row r="68" spans="1:29" x14ac:dyDescent="0.25">
      <c r="A68" s="6">
        <v>177</v>
      </c>
      <c r="B68" s="6" t="s">
        <v>113</v>
      </c>
      <c r="C68" s="6" t="s">
        <v>704</v>
      </c>
      <c r="D68" s="6"/>
      <c r="E68" s="6"/>
      <c r="F68" s="6"/>
      <c r="G68" s="6" t="s">
        <v>787</v>
      </c>
      <c r="H68" s="6" t="s">
        <v>765</v>
      </c>
      <c r="I68" s="6" t="s">
        <v>766</v>
      </c>
      <c r="J68" s="5" t="s">
        <v>765</v>
      </c>
      <c r="K68" s="5" t="s">
        <v>777</v>
      </c>
      <c r="L68" s="5" t="s">
        <v>778</v>
      </c>
      <c r="M68" s="6" t="e">
        <f>VLOOKUP(TabINV2026[[#This Row],[Estado2]],Tabla!$A$2:$B$6,2,FALSE)</f>
        <v>#N/A</v>
      </c>
      <c r="N68" s="6" t="s">
        <v>766</v>
      </c>
      <c r="O68" s="6" t="s">
        <v>570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x14ac:dyDescent="0.25">
      <c r="A69" s="6">
        <v>177</v>
      </c>
      <c r="B69" s="6" t="s">
        <v>130</v>
      </c>
      <c r="C69" s="6" t="s">
        <v>702</v>
      </c>
      <c r="D69" s="6"/>
      <c r="E69" s="6" t="s">
        <v>788</v>
      </c>
      <c r="F69" s="6" t="s">
        <v>789</v>
      </c>
      <c r="G69" s="6" t="s">
        <v>790</v>
      </c>
      <c r="H69" s="6" t="s">
        <v>765</v>
      </c>
      <c r="I69" s="6" t="s">
        <v>766</v>
      </c>
      <c r="J69" s="5" t="s">
        <v>765</v>
      </c>
      <c r="K69" s="5" t="s">
        <v>775</v>
      </c>
      <c r="L69" s="5" t="s">
        <v>776</v>
      </c>
      <c r="M69" s="6" t="e">
        <f>VLOOKUP(TabINV2026[[#This Row],[Estado2]],Tabla!$A$2:$B$6,2,FALSE)</f>
        <v>#N/A</v>
      </c>
      <c r="N69" s="6" t="s">
        <v>766</v>
      </c>
      <c r="O69" s="6" t="s">
        <v>570</v>
      </c>
      <c r="P69" s="6">
        <v>13</v>
      </c>
      <c r="Q69" s="6" t="s">
        <v>92</v>
      </c>
      <c r="R69" s="6" t="s">
        <v>40</v>
      </c>
      <c r="S69" s="6" t="s">
        <v>188</v>
      </c>
      <c r="T69" s="6" t="s">
        <v>767</v>
      </c>
      <c r="U69" s="4" t="s">
        <v>406</v>
      </c>
      <c r="V69" s="6" t="s">
        <v>768</v>
      </c>
      <c r="W69" s="6" t="s">
        <v>682</v>
      </c>
      <c r="X69" s="6" t="s">
        <v>769</v>
      </c>
      <c r="Y69" s="6" t="s">
        <v>770</v>
      </c>
      <c r="Z69" s="6" t="s">
        <v>770</v>
      </c>
      <c r="AA69" s="6"/>
      <c r="AB69" s="6"/>
      <c r="AC69" s="6"/>
    </row>
    <row r="70" spans="1:29" x14ac:dyDescent="0.25">
      <c r="A70">
        <v>200</v>
      </c>
      <c r="B70" s="6" t="s">
        <v>100</v>
      </c>
      <c r="C70" t="s">
        <v>702</v>
      </c>
      <c r="D70" t="s">
        <v>76</v>
      </c>
      <c r="E70" t="s">
        <v>318</v>
      </c>
      <c r="F70" t="s">
        <v>829</v>
      </c>
      <c r="G70" t="s">
        <v>830</v>
      </c>
      <c r="H70" s="4" t="s">
        <v>712</v>
      </c>
      <c r="I70" s="49" t="s">
        <v>713</v>
      </c>
      <c r="K70" s="35" t="s">
        <v>40</v>
      </c>
      <c r="P70">
        <v>7</v>
      </c>
      <c r="Q70" t="s">
        <v>792</v>
      </c>
      <c r="R70" s="6" t="s">
        <v>40</v>
      </c>
      <c r="S70" t="s">
        <v>688</v>
      </c>
      <c r="T70" t="s">
        <v>793</v>
      </c>
      <c r="U70" t="s">
        <v>406</v>
      </c>
      <c r="V70" t="s">
        <v>285</v>
      </c>
      <c r="W70" t="s">
        <v>827</v>
      </c>
      <c r="X70" t="s">
        <v>827</v>
      </c>
      <c r="Y70" s="35" t="s">
        <v>828</v>
      </c>
      <c r="Z70" s="35" t="s">
        <v>828</v>
      </c>
      <c r="AA70" t="s">
        <v>794</v>
      </c>
    </row>
    <row r="71" spans="1:29" hidden="1" x14ac:dyDescent="0.25">
      <c r="A71" s="4"/>
      <c r="B71" s="4"/>
      <c r="C71" s="4"/>
      <c r="D71" s="4"/>
      <c r="E71" s="4"/>
      <c r="F71" s="4"/>
      <c r="G71" s="4"/>
      <c r="H71" s="4"/>
      <c r="I71" s="49"/>
      <c r="J71" s="6"/>
      <c r="K71" s="5"/>
      <c r="L71" s="5"/>
      <c r="M71" s="4" t="e">
        <f>VLOOKUP(TabINV2026[[#This Row],[Estado2]],Tabla!$A$2:$B$6,2,FALSE)</f>
        <v>#N/A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3"/>
      <c r="Z71" s="3"/>
      <c r="AA71" s="4"/>
      <c r="AB71" s="4"/>
      <c r="AC71" s="4"/>
    </row>
    <row r="72" spans="1:29" x14ac:dyDescent="0.25">
      <c r="A72" s="4">
        <v>200</v>
      </c>
      <c r="B72" s="4" t="s">
        <v>130</v>
      </c>
      <c r="C72" s="4" t="s">
        <v>702</v>
      </c>
      <c r="D72" s="4" t="s">
        <v>841</v>
      </c>
      <c r="E72" s="4" t="s">
        <v>136</v>
      </c>
      <c r="F72" s="4" t="s">
        <v>542</v>
      </c>
      <c r="G72" s="4" t="s">
        <v>669</v>
      </c>
      <c r="H72" s="4" t="s">
        <v>712</v>
      </c>
      <c r="I72" s="49" t="s">
        <v>766</v>
      </c>
      <c r="J72" s="5" t="s">
        <v>765</v>
      </c>
      <c r="K72" s="48" t="s">
        <v>775</v>
      </c>
      <c r="L72" s="51" t="s">
        <v>843</v>
      </c>
      <c r="M72" s="50" t="e">
        <f>VLOOKUP(TabINV2026[[#This Row],[Estado2]],Tabla!$A$2:$B$6,2,FALSE)</f>
        <v>#N/A</v>
      </c>
      <c r="N72" s="50" t="s">
        <v>766</v>
      </c>
      <c r="O72" s="49" t="s">
        <v>845</v>
      </c>
      <c r="P72" s="50">
        <v>7</v>
      </c>
      <c r="Q72" s="49" t="s">
        <v>844</v>
      </c>
      <c r="R72" s="50" t="s">
        <v>40</v>
      </c>
      <c r="S72" s="50" t="s">
        <v>188</v>
      </c>
      <c r="T72" s="49" t="s">
        <v>767</v>
      </c>
      <c r="U72" s="49" t="s">
        <v>406</v>
      </c>
      <c r="V72" s="50" t="s">
        <v>768</v>
      </c>
      <c r="W72" s="50" t="s">
        <v>682</v>
      </c>
      <c r="X72" s="50" t="s">
        <v>769</v>
      </c>
      <c r="Y72" s="50" t="s">
        <v>770</v>
      </c>
      <c r="Z72" s="50" t="s">
        <v>770</v>
      </c>
      <c r="AA72" s="50"/>
      <c r="AB72" s="49" t="s">
        <v>846</v>
      </c>
      <c r="AC72" s="52"/>
    </row>
    <row r="73" spans="1:29" x14ac:dyDescent="0.25">
      <c r="A73" s="4">
        <v>200</v>
      </c>
      <c r="B73" s="4" t="s">
        <v>130</v>
      </c>
      <c r="C73" s="4" t="s">
        <v>599</v>
      </c>
      <c r="D73" s="4" t="s">
        <v>839</v>
      </c>
      <c r="E73" s="49" t="s">
        <v>146</v>
      </c>
      <c r="F73" s="4" t="s">
        <v>838</v>
      </c>
      <c r="G73" s="4" t="s">
        <v>669</v>
      </c>
      <c r="H73" s="4" t="s">
        <v>712</v>
      </c>
      <c r="I73" s="49" t="s">
        <v>766</v>
      </c>
      <c r="J73" s="5" t="s">
        <v>765</v>
      </c>
      <c r="K73" s="5" t="s">
        <v>775</v>
      </c>
      <c r="L73" s="51" t="s">
        <v>843</v>
      </c>
      <c r="M73" s="4" t="e">
        <f>VLOOKUP(TabINV2026[[#This Row],[Estado2]],Tabla!$A$2:$B$6,2,FALSE)</f>
        <v>#N/A</v>
      </c>
      <c r="N73" s="50" t="s">
        <v>766</v>
      </c>
      <c r="O73" s="49" t="s">
        <v>845</v>
      </c>
      <c r="P73" s="50">
        <v>7</v>
      </c>
      <c r="Q73" s="49" t="s">
        <v>844</v>
      </c>
      <c r="R73" s="50" t="s">
        <v>40</v>
      </c>
      <c r="S73" s="50" t="s">
        <v>188</v>
      </c>
      <c r="T73" s="49" t="s">
        <v>767</v>
      </c>
      <c r="U73" s="49" t="s">
        <v>406</v>
      </c>
      <c r="V73" s="50" t="s">
        <v>768</v>
      </c>
      <c r="W73" s="50" t="s">
        <v>682</v>
      </c>
      <c r="X73" s="50" t="s">
        <v>769</v>
      </c>
      <c r="Y73" s="50" t="s">
        <v>770</v>
      </c>
      <c r="Z73" s="50" t="s">
        <v>770</v>
      </c>
      <c r="AA73" s="50"/>
      <c r="AB73" s="49" t="s">
        <v>846</v>
      </c>
      <c r="AC73" s="52"/>
    </row>
    <row r="74" spans="1:29" x14ac:dyDescent="0.25">
      <c r="A74" s="4">
        <v>200</v>
      </c>
      <c r="B74" s="4" t="s">
        <v>113</v>
      </c>
      <c r="C74" s="4" t="s">
        <v>124</v>
      </c>
      <c r="D74" t="s">
        <v>842</v>
      </c>
      <c r="E74" s="49" t="s">
        <v>126</v>
      </c>
      <c r="F74" s="4" t="s">
        <v>125</v>
      </c>
      <c r="G74" s="4" t="s">
        <v>763</v>
      </c>
      <c r="H74" s="4" t="s">
        <v>712</v>
      </c>
      <c r="I74" s="49" t="s">
        <v>766</v>
      </c>
      <c r="J74" s="5" t="s">
        <v>765</v>
      </c>
      <c r="K74" s="5" t="s">
        <v>775</v>
      </c>
      <c r="L74" s="51" t="s">
        <v>843</v>
      </c>
      <c r="M74" s="4" t="e">
        <f>VLOOKUP(TabINV2026[[#This Row],[Estado2]],Tabla!$A$2:$B$6,2,FALSE)</f>
        <v>#N/A</v>
      </c>
      <c r="N74" s="50" t="s">
        <v>766</v>
      </c>
      <c r="O74" s="49" t="s">
        <v>845</v>
      </c>
      <c r="P74" s="50">
        <v>7</v>
      </c>
      <c r="Q74" s="49" t="s">
        <v>844</v>
      </c>
      <c r="R74" s="50" t="s">
        <v>40</v>
      </c>
      <c r="S74" s="50" t="s">
        <v>188</v>
      </c>
      <c r="T74" s="49" t="s">
        <v>767</v>
      </c>
      <c r="U74" s="49" t="s">
        <v>406</v>
      </c>
      <c r="V74" s="50" t="s">
        <v>768</v>
      </c>
      <c r="W74" s="50" t="s">
        <v>682</v>
      </c>
      <c r="X74" s="50" t="s">
        <v>769</v>
      </c>
      <c r="Y74" s="50" t="s">
        <v>770</v>
      </c>
      <c r="Z74" s="50" t="s">
        <v>770</v>
      </c>
      <c r="AA74" s="50"/>
      <c r="AB74" s="49" t="s">
        <v>846</v>
      </c>
      <c r="AC74" s="52"/>
    </row>
    <row r="75" spans="1:29" x14ac:dyDescent="0.25">
      <c r="A75" s="6">
        <v>177</v>
      </c>
      <c r="B75" s="6"/>
      <c r="C75" s="6"/>
      <c r="D75" s="6"/>
      <c r="E75" s="6"/>
      <c r="F75" s="6"/>
      <c r="G75" s="6" t="s">
        <v>791</v>
      </c>
      <c r="H75" s="6" t="s">
        <v>765</v>
      </c>
      <c r="I75" s="6" t="s">
        <v>766</v>
      </c>
      <c r="J75" s="5" t="s">
        <v>765</v>
      </c>
      <c r="K75" s="5" t="s">
        <v>777</v>
      </c>
      <c r="L75" s="5" t="s">
        <v>778</v>
      </c>
      <c r="M75" s="6" t="e">
        <f>VLOOKUP(TabINV2026[[#This Row],[Estado2]],Tabla!$A$2:$B$6,2,FALSE)</f>
        <v>#N/A</v>
      </c>
      <c r="N75" s="6" t="s">
        <v>766</v>
      </c>
      <c r="O75" s="6" t="s">
        <v>570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idden="1" x14ac:dyDescent="0.25">
      <c r="A76" s="4">
        <v>200</v>
      </c>
      <c r="B76" s="4" t="s">
        <v>130</v>
      </c>
      <c r="C76" s="4" t="s">
        <v>599</v>
      </c>
      <c r="D76" s="4"/>
      <c r="E76" s="4"/>
      <c r="F76" s="4"/>
      <c r="G76" s="4"/>
      <c r="H76" s="4"/>
      <c r="I76" s="4"/>
      <c r="J76" s="5"/>
      <c r="K76" s="5"/>
      <c r="L76" s="5"/>
      <c r="M76" s="4" t="e">
        <f>VLOOKUP(TabINV2026[[#This Row],[Estado2]],Tabla!$A$2:$B$6,2,FALSE)</f>
        <v>#N/A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idden="1" x14ac:dyDescent="0.25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4" t="e">
        <f>VLOOKUP(TabINV2026[[#This Row],[Estado2]],Tabla!$A$2:$B$6,2,FALSE)</f>
        <v>#N/A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idden="1" x14ac:dyDescent="0.25"/>
    <row r="86" spans="1:29" x14ac:dyDescent="0.25">
      <c r="A86">
        <v>200</v>
      </c>
      <c r="B86" t="s">
        <v>100</v>
      </c>
      <c r="C86" t="s">
        <v>702</v>
      </c>
      <c r="D86" t="s">
        <v>103</v>
      </c>
      <c r="E86" t="s">
        <v>102</v>
      </c>
      <c r="F86" t="s">
        <v>724</v>
      </c>
      <c r="H86" t="s">
        <v>712</v>
      </c>
    </row>
    <row r="87" spans="1:29" x14ac:dyDescent="0.25">
      <c r="A87">
        <v>177</v>
      </c>
      <c r="B87" t="s">
        <v>113</v>
      </c>
      <c r="C87" t="s">
        <v>644</v>
      </c>
      <c r="D87" t="s">
        <v>68</v>
      </c>
      <c r="E87" t="s">
        <v>67</v>
      </c>
      <c r="F87" t="s">
        <v>731</v>
      </c>
      <c r="H87" t="s">
        <v>712</v>
      </c>
    </row>
    <row r="88" spans="1:29" x14ac:dyDescent="0.25">
      <c r="A88">
        <v>177</v>
      </c>
      <c r="B88" t="s">
        <v>113</v>
      </c>
      <c r="C88" t="s">
        <v>644</v>
      </c>
      <c r="D88" t="s">
        <v>65</v>
      </c>
      <c r="E88" t="s">
        <v>67</v>
      </c>
      <c r="F88" t="s">
        <v>731</v>
      </c>
      <c r="H88" t="s">
        <v>712</v>
      </c>
    </row>
    <row r="89" spans="1:29" x14ac:dyDescent="0.25">
      <c r="A89" s="4">
        <v>200</v>
      </c>
      <c r="B89" s="4" t="s">
        <v>130</v>
      </c>
      <c r="C89" s="4" t="s">
        <v>702</v>
      </c>
      <c r="D89" s="4" t="s">
        <v>840</v>
      </c>
      <c r="E89" s="4" t="s">
        <v>136</v>
      </c>
      <c r="F89" s="4" t="s">
        <v>542</v>
      </c>
      <c r="G89" s="4" t="s">
        <v>669</v>
      </c>
      <c r="H89" s="4" t="s">
        <v>712</v>
      </c>
      <c r="I89" s="49" t="s">
        <v>766</v>
      </c>
      <c r="J89" s="5" t="s">
        <v>765</v>
      </c>
      <c r="K89" s="48" t="s">
        <v>775</v>
      </c>
      <c r="L89" s="51" t="s">
        <v>843</v>
      </c>
      <c r="M89" s="50" t="e">
        <f>VLOOKUP(TabINV2026[[#This Row],[Estado2]],Tabla!$A$2:$B$6,2,FALSE)</f>
        <v>#VALUE!</v>
      </c>
      <c r="N89" s="50" t="s">
        <v>766</v>
      </c>
      <c r="O89" s="49" t="s">
        <v>845</v>
      </c>
      <c r="P89" s="50">
        <v>7</v>
      </c>
      <c r="Q89" s="49" t="s">
        <v>844</v>
      </c>
      <c r="R89" s="50" t="s">
        <v>40</v>
      </c>
      <c r="S89" s="50" t="s">
        <v>188</v>
      </c>
      <c r="T89" s="49" t="s">
        <v>767</v>
      </c>
      <c r="U89" s="49" t="s">
        <v>406</v>
      </c>
      <c r="V89" s="50" t="s">
        <v>768</v>
      </c>
      <c r="W89" s="50" t="s">
        <v>682</v>
      </c>
      <c r="X89" s="50" t="s">
        <v>769</v>
      </c>
      <c r="Y89" s="50" t="s">
        <v>770</v>
      </c>
      <c r="Z89" s="50" t="s">
        <v>770</v>
      </c>
      <c r="AA89" s="50"/>
      <c r="AB89" s="49" t="s">
        <v>846</v>
      </c>
      <c r="AC89" s="52"/>
    </row>
    <row r="90" spans="1:29" x14ac:dyDescent="0.25">
      <c r="A90" s="4">
        <v>200</v>
      </c>
      <c r="B90" s="4" t="s">
        <v>130</v>
      </c>
      <c r="C90" s="4" t="s">
        <v>599</v>
      </c>
      <c r="D90" s="4" t="s">
        <v>839</v>
      </c>
      <c r="E90" s="49" t="s">
        <v>146</v>
      </c>
      <c r="F90" s="4" t="s">
        <v>838</v>
      </c>
      <c r="G90" s="4" t="s">
        <v>669</v>
      </c>
      <c r="H90" s="4" t="s">
        <v>712</v>
      </c>
      <c r="I90" s="49" t="s">
        <v>766</v>
      </c>
      <c r="J90" s="5" t="s">
        <v>765</v>
      </c>
      <c r="K90" s="5" t="s">
        <v>775</v>
      </c>
      <c r="L90" s="51" t="s">
        <v>843</v>
      </c>
      <c r="M90" s="4" t="e">
        <f>VLOOKUP(TabINV2026[[#This Row],[Estado2]],Tabla!$A$2:$B$6,2,FALSE)</f>
        <v>#VALUE!</v>
      </c>
      <c r="N90" s="50" t="s">
        <v>766</v>
      </c>
      <c r="O90" s="49" t="s">
        <v>845</v>
      </c>
      <c r="P90" s="50">
        <v>7</v>
      </c>
      <c r="Q90" s="49" t="s">
        <v>844</v>
      </c>
      <c r="R90" s="50" t="s">
        <v>40</v>
      </c>
      <c r="S90" s="50" t="s">
        <v>188</v>
      </c>
      <c r="T90" s="49" t="s">
        <v>767</v>
      </c>
      <c r="U90" s="49" t="s">
        <v>406</v>
      </c>
      <c r="V90" s="50" t="s">
        <v>768</v>
      </c>
      <c r="W90" s="50" t="s">
        <v>682</v>
      </c>
      <c r="X90" s="50" t="s">
        <v>769</v>
      </c>
      <c r="Y90" s="50" t="s">
        <v>770</v>
      </c>
      <c r="Z90" s="50" t="s">
        <v>770</v>
      </c>
      <c r="AA90" s="50"/>
      <c r="AB90" s="49" t="s">
        <v>846</v>
      </c>
      <c r="AC90" s="52"/>
    </row>
    <row r="91" spans="1:29" x14ac:dyDescent="0.25">
      <c r="A91" s="4">
        <v>200</v>
      </c>
      <c r="B91" s="4" t="s">
        <v>113</v>
      </c>
      <c r="C91" s="4" t="s">
        <v>124</v>
      </c>
      <c r="D91" t="s">
        <v>842</v>
      </c>
      <c r="E91" s="49" t="s">
        <v>126</v>
      </c>
      <c r="F91" s="4" t="s">
        <v>125</v>
      </c>
      <c r="G91" s="4" t="s">
        <v>763</v>
      </c>
      <c r="H91" s="4" t="s">
        <v>712</v>
      </c>
      <c r="I91" s="49" t="s">
        <v>766</v>
      </c>
      <c r="J91" s="5" t="s">
        <v>765</v>
      </c>
      <c r="K91" s="5" t="s">
        <v>775</v>
      </c>
      <c r="L91" s="51" t="s">
        <v>843</v>
      </c>
      <c r="M91" s="4" t="e">
        <f>VLOOKUP(TabINV2026[[#This Row],[Estado2]],Tabla!$A$2:$B$6,2,FALSE)</f>
        <v>#VALUE!</v>
      </c>
      <c r="N91" s="50" t="s">
        <v>766</v>
      </c>
      <c r="O91" s="49" t="s">
        <v>845</v>
      </c>
      <c r="P91" s="50">
        <v>7</v>
      </c>
      <c r="Q91" s="49" t="s">
        <v>844</v>
      </c>
      <c r="R91" s="50" t="s">
        <v>40</v>
      </c>
      <c r="S91" s="50" t="s">
        <v>188</v>
      </c>
      <c r="T91" s="49" t="s">
        <v>767</v>
      </c>
      <c r="U91" s="49" t="s">
        <v>406</v>
      </c>
      <c r="V91" s="50" t="s">
        <v>768</v>
      </c>
      <c r="W91" s="50" t="s">
        <v>682</v>
      </c>
      <c r="X91" s="50" t="s">
        <v>769</v>
      </c>
      <c r="Y91" s="50" t="s">
        <v>770</v>
      </c>
      <c r="Z91" s="50" t="s">
        <v>770</v>
      </c>
      <c r="AA91" s="50"/>
      <c r="AB91" s="49" t="s">
        <v>846</v>
      </c>
      <c r="AC91" s="52"/>
    </row>
    <row r="95" spans="1:29" x14ac:dyDescent="0.25">
      <c r="A95">
        <v>200</v>
      </c>
      <c r="B95" t="s">
        <v>702</v>
      </c>
      <c r="C95" t="s">
        <v>819</v>
      </c>
      <c r="D95" t="s">
        <v>105</v>
      </c>
      <c r="E95" t="s">
        <v>106</v>
      </c>
      <c r="F95" t="s">
        <v>795</v>
      </c>
      <c r="G95" t="s">
        <v>796</v>
      </c>
      <c r="H95" t="s">
        <v>797</v>
      </c>
      <c r="I95" t="s">
        <v>798</v>
      </c>
      <c r="J95" t="s">
        <v>799</v>
      </c>
      <c r="K95" t="s">
        <v>569</v>
      </c>
      <c r="L95">
        <v>8</v>
      </c>
      <c r="M95" t="s">
        <v>197</v>
      </c>
      <c r="N95" t="s">
        <v>40</v>
      </c>
      <c r="O95" t="s">
        <v>688</v>
      </c>
      <c r="P95" t="s">
        <v>719</v>
      </c>
      <c r="Q95" t="s">
        <v>677</v>
      </c>
      <c r="R95" t="s">
        <v>720</v>
      </c>
      <c r="S95" t="s">
        <v>576</v>
      </c>
      <c r="T95" t="s">
        <v>438</v>
      </c>
      <c r="U95" t="s">
        <v>691</v>
      </c>
      <c r="V95" t="s">
        <v>721</v>
      </c>
      <c r="W95" t="s">
        <v>722</v>
      </c>
      <c r="X95" t="s">
        <v>468</v>
      </c>
      <c r="Y95" t="s">
        <v>723</v>
      </c>
    </row>
    <row r="96" spans="1:29" x14ac:dyDescent="0.25">
      <c r="A96">
        <v>200</v>
      </c>
      <c r="B96" t="s">
        <v>702</v>
      </c>
      <c r="C96" t="s">
        <v>820</v>
      </c>
      <c r="D96" t="s">
        <v>821</v>
      </c>
      <c r="E96" t="s">
        <v>800</v>
      </c>
      <c r="F96" t="s">
        <v>801</v>
      </c>
      <c r="G96" t="s">
        <v>802</v>
      </c>
      <c r="H96" t="s">
        <v>803</v>
      </c>
      <c r="I96" t="s">
        <v>444</v>
      </c>
      <c r="J96" t="s">
        <v>804</v>
      </c>
      <c r="K96" t="s">
        <v>569</v>
      </c>
      <c r="L96">
        <v>11</v>
      </c>
      <c r="M96" t="s">
        <v>22</v>
      </c>
      <c r="N96" t="s">
        <v>20</v>
      </c>
      <c r="O96" t="s">
        <v>21</v>
      </c>
      <c r="P96" t="s">
        <v>725</v>
      </c>
      <c r="Q96" t="s">
        <v>677</v>
      </c>
      <c r="R96" t="s">
        <v>726</v>
      </c>
      <c r="S96" t="s">
        <v>741</v>
      </c>
      <c r="T96" t="s">
        <v>727</v>
      </c>
      <c r="U96" t="s">
        <v>696</v>
      </c>
      <c r="V96" t="s">
        <v>728</v>
      </c>
      <c r="W96" t="s">
        <v>729</v>
      </c>
      <c r="X96" t="s">
        <v>639</v>
      </c>
      <c r="Y96" t="s">
        <v>730</v>
      </c>
    </row>
    <row r="97" spans="1:25" x14ac:dyDescent="0.25">
      <c r="A97">
        <v>200</v>
      </c>
      <c r="B97" t="s">
        <v>702</v>
      </c>
      <c r="C97" t="s">
        <v>822</v>
      </c>
      <c r="D97" t="s">
        <v>137</v>
      </c>
      <c r="E97" t="s">
        <v>805</v>
      </c>
      <c r="F97" t="s">
        <v>801</v>
      </c>
      <c r="G97" t="s">
        <v>806</v>
      </c>
      <c r="H97" t="s">
        <v>807</v>
      </c>
      <c r="I97" t="s">
        <v>808</v>
      </c>
      <c r="J97" t="s">
        <v>799</v>
      </c>
      <c r="K97" t="s">
        <v>569</v>
      </c>
      <c r="L97">
        <v>11</v>
      </c>
      <c r="M97" t="s">
        <v>69</v>
      </c>
      <c r="N97" t="s">
        <v>20</v>
      </c>
      <c r="O97" t="s">
        <v>21</v>
      </c>
      <c r="P97" t="s">
        <v>732</v>
      </c>
      <c r="Q97" t="s">
        <v>406</v>
      </c>
      <c r="R97" t="s">
        <v>292</v>
      </c>
      <c r="S97" t="s">
        <v>686</v>
      </c>
      <c r="T97" t="s">
        <v>733</v>
      </c>
      <c r="U97" t="s">
        <v>693</v>
      </c>
      <c r="V97" t="s">
        <v>734</v>
      </c>
      <c r="W97" t="s">
        <v>735</v>
      </c>
      <c r="X97" t="s">
        <v>736</v>
      </c>
      <c r="Y97" t="s">
        <v>737</v>
      </c>
    </row>
    <row r="98" spans="1:25" x14ac:dyDescent="0.25">
      <c r="A98">
        <v>200</v>
      </c>
      <c r="B98" t="s">
        <v>599</v>
      </c>
      <c r="C98" t="s">
        <v>823</v>
      </c>
      <c r="D98" t="s">
        <v>716</v>
      </c>
      <c r="E98" t="s">
        <v>197</v>
      </c>
      <c r="F98" t="s">
        <v>809</v>
      </c>
      <c r="G98" t="s">
        <v>810</v>
      </c>
      <c r="H98" t="s">
        <v>278</v>
      </c>
      <c r="I98">
        <v>15.6</v>
      </c>
      <c r="J98" t="s">
        <v>811</v>
      </c>
      <c r="K98" t="s">
        <v>569</v>
      </c>
      <c r="L98">
        <v>12</v>
      </c>
      <c r="M98" t="s">
        <v>42</v>
      </c>
      <c r="N98" t="s">
        <v>40</v>
      </c>
      <c r="O98" t="s">
        <v>41</v>
      </c>
      <c r="P98" t="s">
        <v>738</v>
      </c>
      <c r="Q98" t="s">
        <v>677</v>
      </c>
      <c r="R98" t="s">
        <v>739</v>
      </c>
      <c r="S98" t="s">
        <v>682</v>
      </c>
      <c r="T98" t="s">
        <v>740</v>
      </c>
      <c r="U98" t="s">
        <v>700</v>
      </c>
      <c r="V98" t="s">
        <v>742</v>
      </c>
      <c r="W98" t="s">
        <v>687</v>
      </c>
      <c r="X98" t="s">
        <v>736</v>
      </c>
      <c r="Y98" t="s">
        <v>294</v>
      </c>
    </row>
    <row r="99" spans="1:25" x14ac:dyDescent="0.25">
      <c r="A99">
        <v>200</v>
      </c>
      <c r="B99" t="s">
        <v>824</v>
      </c>
      <c r="C99" t="s">
        <v>825</v>
      </c>
      <c r="D99" t="s">
        <v>308</v>
      </c>
      <c r="E99" t="s">
        <v>812</v>
      </c>
      <c r="F99" t="s">
        <v>813</v>
      </c>
      <c r="G99" t="s">
        <v>810</v>
      </c>
      <c r="H99" t="s">
        <v>814</v>
      </c>
      <c r="I99" t="s">
        <v>815</v>
      </c>
      <c r="J99" t="s">
        <v>816</v>
      </c>
    </row>
    <row r="100" spans="1:25" x14ac:dyDescent="0.25">
      <c r="A100">
        <v>200</v>
      </c>
      <c r="B100" t="s">
        <v>824</v>
      </c>
      <c r="C100" t="s">
        <v>826</v>
      </c>
      <c r="D100" t="s">
        <v>60</v>
      </c>
      <c r="E100" t="s">
        <v>61</v>
      </c>
      <c r="F100" t="s">
        <v>801</v>
      </c>
      <c r="G100" t="s">
        <v>817</v>
      </c>
      <c r="H100" t="s">
        <v>278</v>
      </c>
      <c r="I100" t="s">
        <v>818</v>
      </c>
      <c r="J100" t="s">
        <v>816</v>
      </c>
    </row>
    <row r="101" spans="1:25" x14ac:dyDescent="0.25">
      <c r="A101">
        <v>200</v>
      </c>
      <c r="B101" t="s">
        <v>130</v>
      </c>
      <c r="C101" t="s">
        <v>599</v>
      </c>
      <c r="D101" t="s">
        <v>716</v>
      </c>
      <c r="E101" t="s">
        <v>717</v>
      </c>
      <c r="F101" t="s">
        <v>718</v>
      </c>
      <c r="H101" t="s">
        <v>712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CD76-F9AD-46DE-B6CA-BC3E4ACA3638}">
  <dimension ref="A1:C7"/>
  <sheetViews>
    <sheetView workbookViewId="0">
      <selection activeCell="C3" sqref="C3"/>
    </sheetView>
  </sheetViews>
  <sheetFormatPr baseColWidth="10" defaultRowHeight="15" x14ac:dyDescent="0.25"/>
  <cols>
    <col min="1" max="1" width="22.42578125" bestFit="1" customWidth="1"/>
  </cols>
  <sheetData>
    <row r="1" spans="1:3" x14ac:dyDescent="0.25">
      <c r="A1" s="32" t="s">
        <v>711</v>
      </c>
      <c r="B1" s="32" t="s">
        <v>746</v>
      </c>
      <c r="C1" s="32" t="s">
        <v>747</v>
      </c>
    </row>
    <row r="2" spans="1:3" x14ac:dyDescent="0.25">
      <c r="A2" s="4" t="s">
        <v>713</v>
      </c>
      <c r="B2" s="4">
        <v>1</v>
      </c>
      <c r="C2" s="4">
        <f>COUNTIFS(TabINV2026[Estado2],Tabla!A2)</f>
        <v>12</v>
      </c>
    </row>
    <row r="3" spans="1:3" x14ac:dyDescent="0.25">
      <c r="A3" s="4" t="s">
        <v>715</v>
      </c>
      <c r="B3" s="4">
        <v>2</v>
      </c>
      <c r="C3" s="4">
        <f>COUNTIFS(TabINV2026[Estado2],Tabla!A3)</f>
        <v>12</v>
      </c>
    </row>
    <row r="4" spans="1:3" x14ac:dyDescent="0.25">
      <c r="A4" s="4" t="s">
        <v>744</v>
      </c>
      <c r="B4" s="4">
        <v>3</v>
      </c>
      <c r="C4" s="4">
        <f>COUNTIFS(TabINV2026[Estado2],Tabla!A4)</f>
        <v>7</v>
      </c>
    </row>
    <row r="5" spans="1:3" x14ac:dyDescent="0.25">
      <c r="A5" s="4" t="s">
        <v>745</v>
      </c>
      <c r="B5" s="4">
        <v>4</v>
      </c>
      <c r="C5" s="4">
        <f>COUNTIFS(TabINV2026[Estado2],Tabla!A5)</f>
        <v>1</v>
      </c>
    </row>
    <row r="6" spans="1:3" x14ac:dyDescent="0.25">
      <c r="A6" s="4" t="s">
        <v>714</v>
      </c>
      <c r="B6" s="4">
        <v>5</v>
      </c>
      <c r="C6" s="4">
        <f>COUNTIFS(TabINV2026[Estado2],Tabla!A6)</f>
        <v>12</v>
      </c>
    </row>
    <row r="7" spans="1:3" x14ac:dyDescent="0.25">
      <c r="C7">
        <f>SUM(C2:C6)</f>
        <v>44</v>
      </c>
    </row>
  </sheetData>
  <sortState xmlns:xlrd2="http://schemas.microsoft.com/office/spreadsheetml/2017/richdata2" ref="A2:B6">
    <sortCondition ref="B2:B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FBF5-A3C8-4D80-AC18-BAF71599D5C0}">
  <dimension ref="A1"/>
  <sheetViews>
    <sheetView workbookViewId="0">
      <selection activeCell="C2" sqref="C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XXXXXX</vt:lpstr>
      <vt:lpstr>INVENTARIO CONSOLIDADO</vt:lpstr>
      <vt:lpstr>TD1</vt:lpstr>
      <vt:lpstr>TD2</vt:lpstr>
      <vt:lpstr>TD2 (2)</vt:lpstr>
      <vt:lpstr>INV20260126</vt:lpstr>
      <vt:lpstr>Tabla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Administradorr</dc:creator>
  <cp:lastModifiedBy>Administradorr</cp:lastModifiedBy>
  <cp:lastPrinted>2026-01-26T17:41:53Z</cp:lastPrinted>
  <dcterms:created xsi:type="dcterms:W3CDTF">2015-06-05T18:19:34Z</dcterms:created>
  <dcterms:modified xsi:type="dcterms:W3CDTF">2026-04-11T16:46:28Z</dcterms:modified>
</cp:coreProperties>
</file>